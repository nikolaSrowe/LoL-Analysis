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owe\Downloads\"/>
    </mc:Choice>
  </mc:AlternateContent>
  <xr:revisionPtr revIDLastSave="0" documentId="13_ncr:1_{1B335577-9D9D-4055-99AE-9FDF23188354}" xr6:coauthVersionLast="47" xr6:coauthVersionMax="47" xr10:uidLastSave="{00000000-0000-0000-0000-000000000000}"/>
  <bookViews>
    <workbookView xWindow="28680" yWindow="-9060" windowWidth="29040" windowHeight="15720" xr2:uid="{EBDEF459-E326-4462-A1A1-9D112712C6BE}"/>
  </bookViews>
  <sheets>
    <sheet name="Analysis Summary" sheetId="2" r:id="rId1"/>
    <sheet name="jackdzn_match_history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6" i="2" l="1"/>
  <c r="I127" i="2"/>
  <c r="I128" i="2"/>
  <c r="I129" i="2"/>
  <c r="I130" i="2"/>
  <c r="I131" i="2"/>
  <c r="I132" i="2"/>
  <c r="I133" i="2"/>
  <c r="I134" i="2"/>
  <c r="I135" i="2"/>
  <c r="I125" i="2"/>
  <c r="H126" i="2"/>
  <c r="H127" i="2"/>
  <c r="H128" i="2"/>
  <c r="H129" i="2"/>
  <c r="H130" i="2"/>
  <c r="H131" i="2"/>
  <c r="H132" i="2"/>
  <c r="H133" i="2"/>
  <c r="H134" i="2"/>
  <c r="H135" i="2"/>
  <c r="H125" i="2"/>
  <c r="P62" i="2"/>
  <c r="P61" i="2"/>
  <c r="F16" i="2"/>
  <c r="F13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<sst xmlns="http://schemas.openxmlformats.org/spreadsheetml/2006/main" count="539" uniqueCount="169">
  <si>
    <t>match_id</t>
  </si>
  <si>
    <t>champion</t>
  </si>
  <si>
    <t>game_mode</t>
  </si>
  <si>
    <t>win</t>
  </si>
  <si>
    <t>game_date</t>
  </si>
  <si>
    <t>hour_of_day</t>
  </si>
  <si>
    <t>day_of_week</t>
  </si>
  <si>
    <t>duration_mins</t>
  </si>
  <si>
    <t>kills</t>
  </si>
  <si>
    <t>deaths</t>
  </si>
  <si>
    <t>assists</t>
  </si>
  <si>
    <t>kda</t>
  </si>
  <si>
    <t>kill_participation</t>
  </si>
  <si>
    <t>damage_per_min</t>
  </si>
  <si>
    <t>team_damage_pct</t>
  </si>
  <si>
    <t>gold_per_min</t>
  </si>
  <si>
    <t>total_damage</t>
  </si>
  <si>
    <t>total_damage_taken</t>
  </si>
  <si>
    <t>damage_mitigated</t>
  </si>
  <si>
    <t>skillshots_hit</t>
  </si>
  <si>
    <t>skillshots_dodged</t>
  </si>
  <si>
    <t>dodge_small_window</t>
  </si>
  <si>
    <t>immobilizations</t>
  </si>
  <si>
    <t>solo_kills</t>
  </si>
  <si>
    <t>ability_uses</t>
  </si>
  <si>
    <t>champ_level</t>
  </si>
  <si>
    <t>time_spent_dead</t>
  </si>
  <si>
    <t>longest_life</t>
  </si>
  <si>
    <t>largest_spree</t>
  </si>
  <si>
    <t>largest_multikill</t>
  </si>
  <si>
    <t>cs</t>
  </si>
  <si>
    <t>cs_per_min</t>
  </si>
  <si>
    <t>vision_score</t>
  </si>
  <si>
    <t>vision_per_min</t>
  </si>
  <si>
    <t>lane</t>
  </si>
  <si>
    <t>role</t>
  </si>
  <si>
    <t>NA1_5480474873</t>
  </si>
  <si>
    <t>Swain</t>
  </si>
  <si>
    <t>SR_Other</t>
  </si>
  <si>
    <t>Sunday</t>
  </si>
  <si>
    <t>BOTTOM</t>
  </si>
  <si>
    <t>CARRY</t>
  </si>
  <si>
    <t>NA1_5424841121</t>
  </si>
  <si>
    <t>Senna</t>
  </si>
  <si>
    <t>SUPPORT</t>
  </si>
  <si>
    <t>NA1_5412171226</t>
  </si>
  <si>
    <t>Thursday</t>
  </si>
  <si>
    <t>DUO</t>
  </si>
  <si>
    <t>NA1_5426802239</t>
  </si>
  <si>
    <t>Wednesday</t>
  </si>
  <si>
    <t>NA1_5424807760</t>
  </si>
  <si>
    <t>LeeSin</t>
  </si>
  <si>
    <t>NONE</t>
  </si>
  <si>
    <t>NA1_5424812934</t>
  </si>
  <si>
    <t>JUNGLE</t>
  </si>
  <si>
    <t>NA1_5480526192</t>
  </si>
  <si>
    <t>MissFortune</t>
  </si>
  <si>
    <t>NA1_5477912515</t>
  </si>
  <si>
    <t>NA1_5480503867</t>
  </si>
  <si>
    <t>NA1_5399210474</t>
  </si>
  <si>
    <t>Friday</t>
  </si>
  <si>
    <t>NA1_5428728210</t>
  </si>
  <si>
    <t>NA1_5414571133</t>
  </si>
  <si>
    <t>Veigar</t>
  </si>
  <si>
    <t>ARAM</t>
  </si>
  <si>
    <t>NA1_5490792665</t>
  </si>
  <si>
    <t>Thresh</t>
  </si>
  <si>
    <t>NA1_5490788318</t>
  </si>
  <si>
    <t>NA1_5424830019</t>
  </si>
  <si>
    <t>Mordekaiser</t>
  </si>
  <si>
    <t>NA1_5477836733</t>
  </si>
  <si>
    <t>NA1_5403271819</t>
  </si>
  <si>
    <t>Pyke</t>
  </si>
  <si>
    <t>NA1_5428706787</t>
  </si>
  <si>
    <t>NA1_5409350183</t>
  </si>
  <si>
    <t>NA1_5419196897</t>
  </si>
  <si>
    <t>Karma</t>
  </si>
  <si>
    <t>Saturday</t>
  </si>
  <si>
    <t>NA1_5433527946</t>
  </si>
  <si>
    <t>NA1_5409373832</t>
  </si>
  <si>
    <t>NA1_5477852617</t>
  </si>
  <si>
    <t>NA1_5417381743</t>
  </si>
  <si>
    <t>NA1_5433480732</t>
  </si>
  <si>
    <t>MIDDLE</t>
  </si>
  <si>
    <t>NA1_5412202252</t>
  </si>
  <si>
    <t>NA1_5447295079</t>
  </si>
  <si>
    <t>NA1_5426828770</t>
  </si>
  <si>
    <t>NA1_5477887477</t>
  </si>
  <si>
    <t>NA1_5426781257</t>
  </si>
  <si>
    <t>NA1_5532954022</t>
  </si>
  <si>
    <t>Tuesday</t>
  </si>
  <si>
    <t>NA1_5417588034</t>
  </si>
  <si>
    <t>Maokai</t>
  </si>
  <si>
    <t>NA1_5417580329</t>
  </si>
  <si>
    <t>Kayle</t>
  </si>
  <si>
    <t>NA1_5447369414</t>
  </si>
  <si>
    <t>NA1_5399927958</t>
  </si>
  <si>
    <t>NA1_5418116721</t>
  </si>
  <si>
    <t>Nami</t>
  </si>
  <si>
    <t>NA1_5412452328</t>
  </si>
  <si>
    <t>NA1_5402026200</t>
  </si>
  <si>
    <t>hours_pst_label</t>
  </si>
  <si>
    <t>Row Labels</t>
  </si>
  <si>
    <t>Grand Total</t>
  </si>
  <si>
    <t>Column Labels</t>
  </si>
  <si>
    <t>Count of game_mode</t>
  </si>
  <si>
    <t>(All)</t>
  </si>
  <si>
    <t>(blank)</t>
  </si>
  <si>
    <t>Count of win</t>
  </si>
  <si>
    <t>TRUE</t>
  </si>
  <si>
    <t>FALSE</t>
  </si>
  <si>
    <t>ARAM Total</t>
  </si>
  <si>
    <t>SR_Other Total</t>
  </si>
  <si>
    <t>Sum of kda</t>
  </si>
  <si>
    <t>Sum of immobilizations</t>
  </si>
  <si>
    <t>Sum of ability_uses</t>
  </si>
  <si>
    <t>Sum of vision_score</t>
  </si>
  <si>
    <t>10:00 AM</t>
  </si>
  <si>
    <t>10:00 PM</t>
  </si>
  <si>
    <t>11:00 PM</t>
  </si>
  <si>
    <t>12:00 AM</t>
  </si>
  <si>
    <t>12:00 PM</t>
  </si>
  <si>
    <t>4:00 PM</t>
  </si>
  <si>
    <t>5:00 PM</t>
  </si>
  <si>
    <t>6:00 PM</t>
  </si>
  <si>
    <t>7:00 PM</t>
  </si>
  <si>
    <t>8:00 PM</t>
  </si>
  <si>
    <t>9:00 PM</t>
  </si>
  <si>
    <t>Games Per Champ</t>
  </si>
  <si>
    <t>Position of Champ (Filter by Win)</t>
  </si>
  <si>
    <t>Champ Win/Loss and Game Mode</t>
  </si>
  <si>
    <t>Champ Sum KDA Game Mode (too long to see each game individually)</t>
  </si>
  <si>
    <t>Champ, Sum of Stats</t>
  </si>
  <si>
    <t>Champ Vision Score SWIFTPLAY</t>
  </si>
  <si>
    <t>WR - days of the week</t>
  </si>
  <si>
    <t>WR - time of day</t>
  </si>
  <si>
    <t>WR/LR for each hour of day</t>
  </si>
  <si>
    <t>Percentage of each time from day</t>
  </si>
  <si>
    <t>: Senna played 13 times/38</t>
  </si>
  <si>
    <t>Everyone else:</t>
  </si>
  <si>
    <t>Average of kda</t>
  </si>
  <si>
    <t>Max of kda</t>
  </si>
  <si>
    <t>Min of kda</t>
  </si>
  <si>
    <t>Average of kills</t>
  </si>
  <si>
    <t>Max of kills</t>
  </si>
  <si>
    <t>Min of kills</t>
  </si>
  <si>
    <t>Average of deaths</t>
  </si>
  <si>
    <t>Average of assists</t>
  </si>
  <si>
    <t>Average of kill_participation</t>
  </si>
  <si>
    <t>Average of gold_per_min</t>
  </si>
  <si>
    <t>Average of skillshots_hit</t>
  </si>
  <si>
    <t>Average of skillshots_dodged</t>
  </si>
  <si>
    <t>Average of dodge_small_window</t>
  </si>
  <si>
    <t>Average of solo_kills</t>
  </si>
  <si>
    <t>/13</t>
  </si>
  <si>
    <t>Total Count of win</t>
  </si>
  <si>
    <t>Total Count of match_id</t>
  </si>
  <si>
    <t>Count of match_id</t>
  </si>
  <si>
    <t>Games</t>
  </si>
  <si>
    <t>Win Rate by Hour (PST) — Reliable Hours Only (3+ games)</t>
  </si>
  <si>
    <t>Time PST</t>
  </si>
  <si>
    <t>Losses</t>
  </si>
  <si>
    <t>Wins</t>
  </si>
  <si>
    <t>Total Games</t>
  </si>
  <si>
    <t>Win Rate</t>
  </si>
  <si>
    <t>Loss Rate</t>
  </si>
  <si>
    <t>Use?</t>
  </si>
  <si>
    <t>✅ Use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</si>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</sst>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19E6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16" fillId="33" borderId="0" xfId="0" applyFont="1" applyFill="1"/>
    <xf numFmtId="164" fontId="16" fillId="3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34" borderId="0" xfId="0" applyFill="1"/>
    <xf numFmtId="0" fontId="18" fillId="34" borderId="0" xfId="0" applyFont="1" applyFill="1"/>
    <xf numFmtId="0" fontId="16" fillId="34" borderId="0" xfId="0" applyFont="1" applyFill="1"/>
    <xf numFmtId="9" fontId="0" fillId="0" borderId="0" xfId="42" applyFont="1"/>
    <xf numFmtId="0" fontId="16" fillId="0" borderId="0" xfId="0" applyFont="1"/>
    <xf numFmtId="0" fontId="16" fillId="35" borderId="0" xfId="0" applyFont="1" applyFill="1"/>
    <xf numFmtId="0" fontId="0" fillId="35" borderId="0" xfId="0" applyFill="1"/>
    <xf numFmtId="0" fontId="16" fillId="35" borderId="0" xfId="0" applyFont="1" applyFill="1" applyAlignment="1">
      <alignment horizontal="center" vertical="center" wrapText="1"/>
    </xf>
    <xf numFmtId="18" fontId="0" fillId="35" borderId="0" xfId="0" applyNumberFormat="1" applyFill="1" applyAlignment="1">
      <alignment vertical="center" wrapText="1"/>
    </xf>
    <xf numFmtId="0" fontId="0" fillId="35" borderId="0" xfId="0" applyFill="1" applyAlignment="1">
      <alignment vertical="center" wrapText="1"/>
    </xf>
    <xf numFmtId="10" fontId="0" fillId="35" borderId="0" xfId="0" applyNumberFormat="1" applyFill="1" applyAlignment="1">
      <alignment vertical="center" wrapText="1"/>
    </xf>
    <xf numFmtId="0" fontId="16" fillId="35" borderId="0" xfId="0" applyFont="1" applyFill="1" applyAlignment="1">
      <alignment vertical="center" wrapText="1"/>
    </xf>
    <xf numFmtId="10" fontId="16" fillId="35" borderId="0" xfId="0" applyNumberFormat="1" applyFont="1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19E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a Rowe" refreshedDate="46198.34055601852" createdVersion="8" refreshedVersion="8" minRefreshableVersion="3" recordCount="38" xr:uid="{738C1A8D-9B83-44A9-863A-1A49B91A7D4B}">
  <cacheSource type="worksheet">
    <worksheetSource ref="A1:AK39" sheet="jackdzn_match_history"/>
  </cacheSource>
  <cacheFields count="37">
    <cacheField name="match_id" numFmtId="0">
      <sharedItems count="38">
        <s v="NA1_5399210474"/>
        <s v="NA1_5399927958"/>
        <s v="NA1_5402026200"/>
        <s v="NA1_5403271819"/>
        <s v="NA1_5409350183"/>
        <s v="NA1_5409373832"/>
        <s v="NA1_5412171226"/>
        <s v="NA1_5412202252"/>
        <s v="NA1_5412452328"/>
        <s v="NA1_5414571133"/>
        <s v="NA1_5417381743"/>
        <s v="NA1_5417588034"/>
        <s v="NA1_5417580329"/>
        <s v="NA1_5418116721"/>
        <s v="NA1_5419196897"/>
        <s v="NA1_5424841121"/>
        <s v="NA1_5424807760"/>
        <s v="NA1_5424812934"/>
        <s v="NA1_5424830019"/>
        <s v="NA1_5426802239"/>
        <s v="NA1_5426828770"/>
        <s v="NA1_5426781257"/>
        <s v="NA1_5428728210"/>
        <s v="NA1_5428706787"/>
        <s v="NA1_5433527946"/>
        <s v="NA1_5433480732"/>
        <s v="NA1_5447295079"/>
        <s v="NA1_5447369414"/>
        <s v="NA1_5477912515"/>
        <s v="NA1_5477836733"/>
        <s v="NA1_5477852617"/>
        <s v="NA1_5477887477"/>
        <s v="NA1_5480474873"/>
        <s v="NA1_5480526192"/>
        <s v="NA1_5480503867"/>
        <s v="NA1_5490792665"/>
        <s v="NA1_5490788318"/>
        <s v="NA1_5532954022"/>
      </sharedItems>
    </cacheField>
    <cacheField name="champion" numFmtId="0">
      <sharedItems count="12">
        <s v="Swain"/>
        <s v="Pyke"/>
        <s v="Senna"/>
        <s v="Veigar"/>
        <s v="Maokai"/>
        <s v="Kayle"/>
        <s v="Nami"/>
        <s v="Karma"/>
        <s v="LeeSin"/>
        <s v="Mordekaiser"/>
        <s v="MissFortune"/>
        <s v="Thresh"/>
      </sharedItems>
    </cacheField>
    <cacheField name="game_mode" numFmtId="0">
      <sharedItems count="2">
        <s v="SR_Other"/>
        <s v="ARAM"/>
      </sharedItems>
    </cacheField>
    <cacheField name="win" numFmtId="0">
      <sharedItems count="2">
        <b v="1"/>
        <b v="0"/>
      </sharedItems>
    </cacheField>
    <cacheField name="game_date" numFmtId="164">
      <sharedItems containsSemiMixedTypes="0" containsNonDate="0" containsDate="1" containsString="0" minDate="2025-10-24T00:00:00" maxDate="2026-04-08T00:00:00"/>
    </cacheField>
    <cacheField name="hour_of_day" numFmtId="0">
      <sharedItems containsSemiMixedTypes="0" containsString="0" containsNumber="1" containsInteger="1" minValue="0" maxValue="20"/>
    </cacheField>
    <cacheField name="hours_pst_label" numFmtId="0">
      <sharedItems count="11">
        <s v="7:00 PM"/>
        <s v="8:00 PM"/>
        <s v="9:00 PM"/>
        <s v="10:00 PM"/>
        <s v="4:00 PM"/>
        <s v="5:00 PM"/>
        <s v="10:00 AM"/>
        <s v="12:00 PM"/>
        <s v="12:00 AM"/>
        <s v="11:00 PM"/>
        <s v="6:00 PM"/>
      </sharedItems>
    </cacheField>
    <cacheField name="day_of_week" numFmtId="0">
      <sharedItems count="6">
        <s v="Friday"/>
        <s v="Saturday"/>
        <s v="Tuesday"/>
        <s v="Thursday"/>
        <s v="Sunday"/>
        <s v="Wednesday"/>
      </sharedItems>
    </cacheField>
    <cacheField name="duration_mins" numFmtId="0">
      <sharedItems containsSemiMixedTypes="0" containsString="0" containsNumber="1" minValue="1.8" maxValue="37"/>
    </cacheField>
    <cacheField name="kills" numFmtId="0">
      <sharedItems containsSemiMixedTypes="0" containsString="0" containsNumber="1" containsInteger="1" minValue="0" maxValue="12"/>
    </cacheField>
    <cacheField name="deaths" numFmtId="0">
      <sharedItems containsSemiMixedTypes="0" containsString="0" containsNumber="1" containsInteger="1" minValue="0" maxValue="12"/>
    </cacheField>
    <cacheField name="assists" numFmtId="0">
      <sharedItems containsSemiMixedTypes="0" containsString="0" containsNumber="1" containsInteger="1" minValue="0" maxValue="43"/>
    </cacheField>
    <cacheField name="kda" numFmtId="0">
      <sharedItems containsSemiMixedTypes="0" containsString="0" containsNumber="1" minValue="0" maxValue="16" count="29">
        <n v="5"/>
        <n v="0.25"/>
        <n v="7.3333333333333304"/>
        <n v="6"/>
        <n v="3"/>
        <n v="0"/>
        <n v="16"/>
        <n v="3.3636363636363602"/>
        <n v="7.5"/>
        <n v="5.0999999999999996"/>
        <n v="5.71428571428571"/>
        <n v="2"/>
        <n v="2.2999999999999998"/>
        <n v="14.3333333333333"/>
        <n v="5.875"/>
        <n v="0.66666666666666596"/>
        <n v="0.625"/>
        <n v="6.5"/>
        <n v="2.6"/>
        <n v="0.75"/>
        <n v="2.6666666666666599"/>
        <n v="1.88888888888888"/>
        <n v="3.75"/>
        <n v="9"/>
        <n v="1.7777777777777699"/>
        <n v="1.125"/>
        <n v="1.1666666666666601"/>
        <n v="3.5454545454545401"/>
        <n v="1.375"/>
      </sharedItems>
    </cacheField>
    <cacheField name="kill_participation" numFmtId="0">
      <sharedItems containsSemiMixedTypes="0" containsString="0" containsNumber="1" minValue="0" maxValue="100"/>
    </cacheField>
    <cacheField name="damage_per_min" numFmtId="0">
      <sharedItems containsSemiMixedTypes="0" containsString="0" containsNumber="1" minValue="0" maxValue="2951.2"/>
    </cacheField>
    <cacheField name="team_damage_pct" numFmtId="0">
      <sharedItems containsSemiMixedTypes="0" containsString="0" containsNumber="1" minValue="0" maxValue="31.6"/>
    </cacheField>
    <cacheField name="gold_per_min" numFmtId="0">
      <sharedItems containsSemiMixedTypes="0" containsString="0" containsNumber="1" minValue="285.3" maxValue="850.5"/>
    </cacheField>
    <cacheField name="total_damage" numFmtId="0">
      <sharedItems containsSemiMixedTypes="0" containsString="0" containsNumber="1" containsInteger="1" minValue="0" maxValue="69125"/>
    </cacheField>
    <cacheField name="total_damage_taken" numFmtId="0">
      <sharedItems containsSemiMixedTypes="0" containsString="0" containsNumber="1" containsInteger="1" minValue="0" maxValue="95089"/>
    </cacheField>
    <cacheField name="damage_mitigated" numFmtId="0">
      <sharedItems containsSemiMixedTypes="0" containsString="0" containsNumber="1" containsInteger="1" minValue="0" maxValue="78923"/>
    </cacheField>
    <cacheField name="skillshots_hit" numFmtId="0">
      <sharedItems containsSemiMixedTypes="0" containsString="0" containsNumber="1" containsInteger="1" minValue="0" maxValue="195"/>
    </cacheField>
    <cacheField name="skillshots_dodged" numFmtId="0">
      <sharedItems containsSemiMixedTypes="0" containsString="0" containsNumber="1" containsInteger="1" minValue="0" maxValue="199"/>
    </cacheField>
    <cacheField name="dodge_small_window" numFmtId="0">
      <sharedItems containsSemiMixedTypes="0" containsString="0" containsNumber="1" containsInteger="1" minValue="0" maxValue="32"/>
    </cacheField>
    <cacheField name="immobilizations" numFmtId="0">
      <sharedItems containsSemiMixedTypes="0" containsString="0" containsNumber="1" containsInteger="1" minValue="0" maxValue="129"/>
    </cacheField>
    <cacheField name="solo_kills" numFmtId="0">
      <sharedItems containsSemiMixedTypes="0" containsString="0" containsNumber="1" containsInteger="1" minValue="0" maxValue="1"/>
    </cacheField>
    <cacheField name="ability_uses" numFmtId="0">
      <sharedItems containsSemiMixedTypes="0" containsString="0" containsNumber="1" containsInteger="1" minValue="0" maxValue="447"/>
    </cacheField>
    <cacheField name="champ_level" numFmtId="0">
      <sharedItems containsSemiMixedTypes="0" containsString="0" containsNumber="1" containsInteger="1" minValue="1" maxValue="18"/>
    </cacheField>
    <cacheField name="time_spent_dead" numFmtId="0">
      <sharedItems containsSemiMixedTypes="0" containsString="0" containsNumber="1" containsInteger="1" minValue="0" maxValue="384"/>
    </cacheField>
    <cacheField name="longest_life" numFmtId="0">
      <sharedItems containsSemiMixedTypes="0" containsString="0" containsNumber="1" containsInteger="1" minValue="0" maxValue="1327"/>
    </cacheField>
    <cacheField name="largest_spree" numFmtId="0">
      <sharedItems containsSemiMixedTypes="0" containsString="0" containsNumber="1" containsInteger="1" minValue="0" maxValue="5"/>
    </cacheField>
    <cacheField name="largest_multikill" numFmtId="0">
      <sharedItems containsSemiMixedTypes="0" containsString="0" containsNumber="1" containsInteger="1" minValue="0" maxValue="4"/>
    </cacheField>
    <cacheField name="cs" numFmtId="0">
      <sharedItems containsString="0" containsBlank="1" containsNumber="1" containsInteger="1" minValue="0" maxValue="134"/>
    </cacheField>
    <cacheField name="cs_per_min" numFmtId="0">
      <sharedItems containsString="0" containsBlank="1" containsNumber="1" minValue="0" maxValue="5.5"/>
    </cacheField>
    <cacheField name="vision_score" numFmtId="0">
      <sharedItems containsString="0" containsBlank="1" containsNumber="1" containsInteger="1" minValue="0" maxValue="85"/>
    </cacheField>
    <cacheField name="vision_per_min" numFmtId="0">
      <sharedItems containsString="0" containsBlank="1" containsNumber="1" minValue="0" maxValue="2.78"/>
    </cacheField>
    <cacheField name="lane" numFmtId="0">
      <sharedItems containsBlank="1"/>
    </cacheField>
    <cacheField name="role" numFmtId="0">
      <sharedItems containsBlank="1" count="5">
        <s v="SUPPORT"/>
        <m/>
        <s v="DUO"/>
        <s v="NONE"/>
        <s v="CAR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x v="0"/>
    <x v="0"/>
    <d v="2025-10-24T00:00:00"/>
    <n v="3"/>
    <x v="0"/>
    <x v="0"/>
    <n v="30.6"/>
    <n v="5"/>
    <n v="3"/>
    <n v="10"/>
    <x v="0"/>
    <n v="50"/>
    <n v="581.9"/>
    <n v="15.5"/>
    <n v="617.4"/>
    <n v="17829"/>
    <n v="26413"/>
    <n v="13658"/>
    <n v="32"/>
    <n v="25"/>
    <n v="1"/>
    <n v="25"/>
    <n v="1"/>
    <n v="198"/>
    <n v="18"/>
    <n v="78"/>
    <n v="588"/>
    <n v="5"/>
    <n v="3"/>
    <n v="89"/>
    <n v="2.91"/>
    <n v="63"/>
    <n v="2.08"/>
    <s v="BOTTOM"/>
    <x v="0"/>
  </r>
  <r>
    <x v="1"/>
    <x v="0"/>
    <x v="0"/>
    <x v="1"/>
    <d v="2025-10-25T00:00:00"/>
    <n v="4"/>
    <x v="1"/>
    <x v="1"/>
    <n v="16.7"/>
    <n v="0"/>
    <n v="4"/>
    <n v="1"/>
    <x v="1"/>
    <n v="14.3"/>
    <n v="276.60000000000002"/>
    <n v="15.2"/>
    <n v="415"/>
    <n v="4632"/>
    <n v="10010"/>
    <n v="5005"/>
    <n v="23"/>
    <n v="42"/>
    <n v="2"/>
    <n v="18"/>
    <n v="0"/>
    <n v="84"/>
    <n v="11"/>
    <n v="93"/>
    <n v="412"/>
    <n v="0"/>
    <n v="0"/>
    <n v="42"/>
    <n v="2.5099999999999998"/>
    <n v="26"/>
    <n v="1.58"/>
    <s v="NONE"/>
    <x v="0"/>
  </r>
  <r>
    <x v="2"/>
    <x v="0"/>
    <x v="0"/>
    <x v="0"/>
    <d v="2025-10-28T00:00:00"/>
    <n v="5"/>
    <x v="2"/>
    <x v="2"/>
    <n v="34.1"/>
    <n v="6"/>
    <n v="3"/>
    <n v="16"/>
    <x v="2"/>
    <n v="45.8"/>
    <n v="650.20000000000005"/>
    <n v="14"/>
    <n v="710.9"/>
    <n v="22212"/>
    <n v="36469"/>
    <n v="30120"/>
    <n v="46"/>
    <n v="29"/>
    <n v="0"/>
    <n v="41"/>
    <n v="0"/>
    <n v="303"/>
    <n v="18"/>
    <n v="138"/>
    <n v="733"/>
    <n v="3"/>
    <n v="2"/>
    <n v="117"/>
    <n v="3.43"/>
    <n v="65"/>
    <n v="1.91"/>
    <s v="BOTTOM"/>
    <x v="0"/>
  </r>
  <r>
    <x v="3"/>
    <x v="1"/>
    <x v="1"/>
    <x v="0"/>
    <d v="2025-10-30T00:00:00"/>
    <n v="6"/>
    <x v="3"/>
    <x v="3"/>
    <n v="12"/>
    <n v="8"/>
    <n v="5"/>
    <n v="22"/>
    <x v="3"/>
    <n v="58.8"/>
    <n v="1047.0999999999999"/>
    <n v="13.6"/>
    <n v="765.8"/>
    <n v="12574"/>
    <n v="14327"/>
    <n v="12819"/>
    <n v="32"/>
    <n v="19"/>
    <n v="0"/>
    <n v="27"/>
    <n v="0"/>
    <n v="104"/>
    <n v="14"/>
    <n v="114"/>
    <n v="193"/>
    <n v="3"/>
    <n v="3"/>
    <m/>
    <m/>
    <m/>
    <m/>
    <m/>
    <x v="1"/>
  </r>
  <r>
    <x v="4"/>
    <x v="2"/>
    <x v="0"/>
    <x v="0"/>
    <d v="2025-11-09T00:00:00"/>
    <n v="0"/>
    <x v="4"/>
    <x v="4"/>
    <n v="25.7"/>
    <n v="2"/>
    <n v="4"/>
    <n v="10"/>
    <x v="4"/>
    <n v="38.700000000000003"/>
    <n v="344.7"/>
    <n v="9.4"/>
    <n v="692.1"/>
    <n v="8855"/>
    <n v="14115"/>
    <n v="6421"/>
    <n v="23"/>
    <n v="7"/>
    <n v="0"/>
    <n v="19"/>
    <n v="0"/>
    <n v="132"/>
    <n v="18"/>
    <n v="126"/>
    <n v="379"/>
    <n v="0"/>
    <n v="1"/>
    <n v="45"/>
    <n v="1.75"/>
    <n v="45"/>
    <n v="1.76"/>
    <s v="BOTTOM"/>
    <x v="0"/>
  </r>
  <r>
    <x v="5"/>
    <x v="0"/>
    <x v="0"/>
    <x v="1"/>
    <d v="2025-11-09T00:00:00"/>
    <n v="1"/>
    <x v="5"/>
    <x v="4"/>
    <n v="16"/>
    <n v="0"/>
    <n v="5"/>
    <n v="0"/>
    <x v="5"/>
    <n v="0"/>
    <n v="215.9"/>
    <n v="12.3"/>
    <n v="322.2"/>
    <n v="3458"/>
    <n v="11028"/>
    <n v="3701"/>
    <n v="16"/>
    <n v="60"/>
    <n v="7"/>
    <n v="18"/>
    <n v="0"/>
    <n v="59"/>
    <n v="9"/>
    <n v="105"/>
    <n v="419"/>
    <n v="0"/>
    <n v="0"/>
    <n v="25"/>
    <n v="1.56"/>
    <n v="27"/>
    <n v="1.71"/>
    <s v="NONE"/>
    <x v="0"/>
  </r>
  <r>
    <x v="6"/>
    <x v="0"/>
    <x v="0"/>
    <x v="0"/>
    <d v="2025-11-13T00:00:00"/>
    <n v="0"/>
    <x v="4"/>
    <x v="3"/>
    <n v="25.6"/>
    <n v="5"/>
    <n v="1"/>
    <n v="11"/>
    <x v="6"/>
    <n v="55.2"/>
    <n v="824.2"/>
    <n v="21"/>
    <n v="542.70000000000005"/>
    <n v="21067"/>
    <n v="15342"/>
    <n v="10405"/>
    <n v="42"/>
    <n v="14"/>
    <n v="0"/>
    <n v="36"/>
    <n v="0"/>
    <n v="225"/>
    <n v="17"/>
    <n v="16"/>
    <n v="539"/>
    <n v="5"/>
    <n v="2"/>
    <n v="64"/>
    <n v="2.5"/>
    <n v="62"/>
    <n v="2.46"/>
    <s v="BOTTOM"/>
    <x v="2"/>
  </r>
  <r>
    <x v="7"/>
    <x v="0"/>
    <x v="1"/>
    <x v="1"/>
    <d v="2025-11-13T00:00:00"/>
    <n v="1"/>
    <x v="5"/>
    <x v="3"/>
    <n v="17.899999999999999"/>
    <n v="7"/>
    <n v="11"/>
    <n v="30"/>
    <x v="7"/>
    <n v="74"/>
    <n v="1445.4"/>
    <n v="18.5"/>
    <n v="658.3"/>
    <n v="25893"/>
    <n v="43836"/>
    <n v="27230"/>
    <n v="60"/>
    <n v="199"/>
    <n v="32"/>
    <n v="37"/>
    <n v="0"/>
    <n v="190"/>
    <n v="18"/>
    <n v="281"/>
    <n v="111"/>
    <n v="3"/>
    <n v="3"/>
    <m/>
    <m/>
    <m/>
    <m/>
    <m/>
    <x v="1"/>
  </r>
  <r>
    <x v="8"/>
    <x v="2"/>
    <x v="0"/>
    <x v="0"/>
    <d v="2025-11-13T00:00:00"/>
    <n v="6"/>
    <x v="3"/>
    <x v="3"/>
    <n v="27.1"/>
    <n v="3"/>
    <n v="2"/>
    <n v="12"/>
    <x v="8"/>
    <n v="50"/>
    <n v="517.5"/>
    <n v="12.4"/>
    <n v="559"/>
    <n v="14018"/>
    <n v="17034"/>
    <n v="10001"/>
    <n v="21"/>
    <n v="5"/>
    <n v="0"/>
    <n v="21"/>
    <n v="0"/>
    <n v="138"/>
    <n v="18"/>
    <n v="98"/>
    <n v="1327"/>
    <n v="2"/>
    <n v="1"/>
    <n v="61"/>
    <n v="2.25"/>
    <n v="70"/>
    <n v="2.61"/>
    <s v="BOTTOM"/>
    <x v="0"/>
  </r>
  <r>
    <x v="9"/>
    <x v="3"/>
    <x v="1"/>
    <x v="0"/>
    <d v="2025-11-16T00:00:00"/>
    <n v="6"/>
    <x v="3"/>
    <x v="4"/>
    <n v="26.4"/>
    <n v="8"/>
    <n v="10"/>
    <n v="43"/>
    <x v="9"/>
    <n v="67.099999999999994"/>
    <n v="1165.7"/>
    <n v="14.2"/>
    <n v="645.29999999999995"/>
    <n v="30828"/>
    <n v="30776"/>
    <n v="17207"/>
    <n v="68"/>
    <n v="65"/>
    <n v="2"/>
    <n v="29"/>
    <n v="0"/>
    <n v="314"/>
    <n v="18"/>
    <n v="332"/>
    <n v="297"/>
    <n v="2"/>
    <n v="1"/>
    <m/>
    <m/>
    <m/>
    <m/>
    <m/>
    <x v="1"/>
  </r>
  <r>
    <x v="10"/>
    <x v="0"/>
    <x v="1"/>
    <x v="1"/>
    <d v="2025-11-20T00:00:00"/>
    <n v="6"/>
    <x v="3"/>
    <x v="3"/>
    <n v="23.4"/>
    <n v="12"/>
    <n v="7"/>
    <n v="28"/>
    <x v="10"/>
    <n v="80"/>
    <n v="2951.2"/>
    <n v="31.6"/>
    <n v="668.6"/>
    <n v="69125"/>
    <n v="95089"/>
    <n v="78923"/>
    <n v="195"/>
    <n v="81"/>
    <n v="0"/>
    <n v="129"/>
    <n v="0"/>
    <n v="447"/>
    <n v="18"/>
    <n v="216"/>
    <n v="280"/>
    <n v="5"/>
    <n v="2"/>
    <m/>
    <m/>
    <m/>
    <m/>
    <m/>
    <x v="1"/>
  </r>
  <r>
    <x v="11"/>
    <x v="4"/>
    <x v="1"/>
    <x v="1"/>
    <d v="2025-11-20T00:00:00"/>
    <n v="18"/>
    <x v="6"/>
    <x v="3"/>
    <n v="8.4"/>
    <n v="1"/>
    <n v="4"/>
    <n v="7"/>
    <x v="11"/>
    <n v="72.7"/>
    <n v="560"/>
    <n v="15.8"/>
    <n v="639.6"/>
    <n v="4703"/>
    <n v="14662"/>
    <n v="7968"/>
    <n v="18"/>
    <n v="66"/>
    <n v="4"/>
    <n v="27"/>
    <n v="0"/>
    <n v="91"/>
    <n v="10"/>
    <n v="70"/>
    <n v="108"/>
    <n v="0"/>
    <n v="1"/>
    <m/>
    <m/>
    <m/>
    <m/>
    <m/>
    <x v="1"/>
  </r>
  <r>
    <x v="12"/>
    <x v="5"/>
    <x v="1"/>
    <x v="1"/>
    <d v="2025-11-20T00:00:00"/>
    <n v="18"/>
    <x v="6"/>
    <x v="3"/>
    <n v="15.4"/>
    <n v="9"/>
    <n v="10"/>
    <n v="14"/>
    <x v="12"/>
    <n v="65.7"/>
    <n v="844.1"/>
    <n v="17.2"/>
    <n v="764.8"/>
    <n v="13024"/>
    <n v="22368"/>
    <n v="11651"/>
    <n v="10"/>
    <n v="93"/>
    <n v="9"/>
    <n v="2"/>
    <n v="0"/>
    <n v="96"/>
    <n v="15"/>
    <n v="189"/>
    <n v="108"/>
    <n v="4"/>
    <n v="4"/>
    <m/>
    <m/>
    <m/>
    <m/>
    <m/>
    <x v="1"/>
  </r>
  <r>
    <x v="13"/>
    <x v="6"/>
    <x v="1"/>
    <x v="0"/>
    <d v="2025-11-21T00:00:00"/>
    <n v="6"/>
    <x v="3"/>
    <x v="0"/>
    <n v="14.9"/>
    <n v="3"/>
    <n v="3"/>
    <n v="40"/>
    <x v="13"/>
    <n v="100"/>
    <n v="803.2"/>
    <n v="11.9"/>
    <n v="671.3"/>
    <n v="11957"/>
    <n v="12324"/>
    <n v="5814"/>
    <n v="41"/>
    <n v="50"/>
    <n v="1"/>
    <n v="37"/>
    <n v="0"/>
    <n v="180"/>
    <n v="15"/>
    <n v="49"/>
    <n v="522"/>
    <n v="2"/>
    <n v="1"/>
    <m/>
    <m/>
    <m/>
    <m/>
    <m/>
    <x v="1"/>
  </r>
  <r>
    <x v="14"/>
    <x v="7"/>
    <x v="1"/>
    <x v="0"/>
    <d v="2025-11-22T00:00:00"/>
    <n v="20"/>
    <x v="7"/>
    <x v="1"/>
    <n v="19.399999999999999"/>
    <n v="4"/>
    <n v="8"/>
    <n v="43"/>
    <x v="14"/>
    <n v="82.5"/>
    <n v="1378.3"/>
    <n v="17.5"/>
    <n v="649.79999999999995"/>
    <n v="26675"/>
    <n v="21448"/>
    <n v="14803"/>
    <n v="29"/>
    <n v="49"/>
    <n v="2"/>
    <n v="9"/>
    <n v="0"/>
    <n v="256"/>
    <n v="18"/>
    <n v="227"/>
    <n v="222"/>
    <n v="2"/>
    <n v="1"/>
    <m/>
    <m/>
    <m/>
    <m/>
    <m/>
    <x v="1"/>
  </r>
  <r>
    <x v="15"/>
    <x v="2"/>
    <x v="0"/>
    <x v="1"/>
    <d v="2025-11-30T00:00:00"/>
    <n v="8"/>
    <x v="8"/>
    <x v="4"/>
    <n v="24.6"/>
    <n v="5"/>
    <n v="5"/>
    <n v="10"/>
    <x v="4"/>
    <n v="68.2"/>
    <n v="528.9"/>
    <n v="16.2"/>
    <n v="579.79999999999995"/>
    <n v="12988"/>
    <n v="21468"/>
    <n v="11481"/>
    <n v="31"/>
    <n v="21"/>
    <n v="0"/>
    <n v="23"/>
    <n v="1"/>
    <n v="144"/>
    <n v="17"/>
    <n v="116"/>
    <n v="649"/>
    <n v="2"/>
    <n v="1"/>
    <n v="48"/>
    <n v="1.96"/>
    <n v="39"/>
    <n v="1.61"/>
    <s v="BOTTOM"/>
    <x v="0"/>
  </r>
  <r>
    <x v="16"/>
    <x v="8"/>
    <x v="0"/>
    <x v="0"/>
    <d v="2025-11-30T00:00:00"/>
    <n v="7"/>
    <x v="9"/>
    <x v="4"/>
    <n v="1.8"/>
    <n v="0"/>
    <n v="0"/>
    <n v="0"/>
    <x v="5"/>
    <n v="0"/>
    <n v="0"/>
    <n v="0"/>
    <n v="285.3"/>
    <n v="0"/>
    <n v="413"/>
    <n v="148"/>
    <n v="0"/>
    <n v="0"/>
    <n v="0"/>
    <n v="0"/>
    <n v="0"/>
    <n v="4"/>
    <n v="1"/>
    <n v="0"/>
    <n v="0"/>
    <n v="0"/>
    <n v="0"/>
    <n v="0"/>
    <n v="0"/>
    <n v="0"/>
    <n v="0"/>
    <s v="NONE"/>
    <x v="0"/>
  </r>
  <r>
    <x v="17"/>
    <x v="8"/>
    <x v="0"/>
    <x v="0"/>
    <d v="2025-11-30T00:00:00"/>
    <n v="7"/>
    <x v="9"/>
    <x v="4"/>
    <n v="26.6"/>
    <n v="0"/>
    <n v="3"/>
    <n v="6"/>
    <x v="11"/>
    <n v="28.6"/>
    <n v="290.89999999999998"/>
    <n v="9.8000000000000007"/>
    <n v="501.7"/>
    <n v="7741"/>
    <n v="24537"/>
    <n v="23730"/>
    <n v="9"/>
    <n v="94"/>
    <n v="14"/>
    <n v="13"/>
    <n v="0"/>
    <n v="386"/>
    <n v="17"/>
    <n v="81"/>
    <n v="1120"/>
    <n v="0"/>
    <n v="0"/>
    <n v="17"/>
    <n v="0.64"/>
    <n v="19"/>
    <n v="0.74"/>
    <s v="JUNGLE"/>
    <x v="3"/>
  </r>
  <r>
    <x v="18"/>
    <x v="9"/>
    <x v="0"/>
    <x v="1"/>
    <d v="2025-11-30T00:00:00"/>
    <n v="8"/>
    <x v="8"/>
    <x v="4"/>
    <n v="19.7"/>
    <n v="0"/>
    <n v="3"/>
    <n v="2"/>
    <x v="15"/>
    <n v="15.4"/>
    <n v="487.9"/>
    <n v="17.5"/>
    <n v="464.2"/>
    <n v="9628"/>
    <n v="17399"/>
    <n v="16849"/>
    <n v="0"/>
    <n v="9"/>
    <n v="0"/>
    <n v="11"/>
    <n v="0"/>
    <n v="146"/>
    <n v="13"/>
    <n v="100"/>
    <n v="483"/>
    <n v="0"/>
    <n v="0"/>
    <n v="107"/>
    <n v="5.42"/>
    <n v="8"/>
    <n v="0.42"/>
    <s v="NONE"/>
    <x v="0"/>
  </r>
  <r>
    <x v="19"/>
    <x v="0"/>
    <x v="0"/>
    <x v="1"/>
    <d v="2025-12-03T00:00:00"/>
    <n v="5"/>
    <x v="2"/>
    <x v="5"/>
    <n v="24.4"/>
    <n v="1"/>
    <n v="8"/>
    <n v="4"/>
    <x v="16"/>
    <n v="45.5"/>
    <n v="655.5"/>
    <n v="22.7"/>
    <n v="503.3"/>
    <n v="15968"/>
    <n v="27319"/>
    <n v="13845"/>
    <n v="34"/>
    <n v="8"/>
    <n v="0"/>
    <n v="24"/>
    <n v="1"/>
    <n v="178"/>
    <n v="16"/>
    <n v="243"/>
    <n v="572"/>
    <n v="0"/>
    <n v="1"/>
    <n v="134"/>
    <n v="5.5"/>
    <n v="16"/>
    <n v="0.7"/>
    <s v="BOTTOM"/>
    <x v="4"/>
  </r>
  <r>
    <x v="20"/>
    <x v="2"/>
    <x v="0"/>
    <x v="0"/>
    <d v="2025-12-03T00:00:00"/>
    <n v="5"/>
    <x v="2"/>
    <x v="5"/>
    <n v="27.2"/>
    <n v="2"/>
    <n v="2"/>
    <n v="11"/>
    <x v="17"/>
    <n v="40.6"/>
    <n v="350.1"/>
    <n v="9.6"/>
    <n v="547.9"/>
    <n v="9522"/>
    <n v="14561"/>
    <n v="6081"/>
    <n v="17"/>
    <n v="76"/>
    <n v="12"/>
    <n v="15"/>
    <n v="0"/>
    <n v="135"/>
    <n v="18"/>
    <n v="44"/>
    <n v="494"/>
    <n v="0"/>
    <n v="1"/>
    <n v="63"/>
    <n v="2.3199999999999998"/>
    <n v="75"/>
    <n v="2.78"/>
    <s v="BOTTOM"/>
    <x v="0"/>
  </r>
  <r>
    <x v="21"/>
    <x v="0"/>
    <x v="0"/>
    <x v="1"/>
    <d v="2025-12-03T00:00:00"/>
    <n v="4"/>
    <x v="1"/>
    <x v="5"/>
    <n v="22.3"/>
    <n v="5"/>
    <n v="5"/>
    <n v="8"/>
    <x v="18"/>
    <n v="48.1"/>
    <n v="1370.7"/>
    <n v="26.4"/>
    <n v="460.6"/>
    <n v="30570"/>
    <n v="25974"/>
    <n v="12221"/>
    <n v="63"/>
    <n v="15"/>
    <n v="0"/>
    <n v="37"/>
    <n v="1"/>
    <n v="196"/>
    <n v="14"/>
    <n v="112"/>
    <n v="568"/>
    <n v="3"/>
    <n v="2"/>
    <n v="67"/>
    <n v="3"/>
    <n v="22"/>
    <n v="0.99"/>
    <s v="BOTTOM"/>
    <x v="4"/>
  </r>
  <r>
    <x v="22"/>
    <x v="2"/>
    <x v="0"/>
    <x v="0"/>
    <d v="2025-12-05T00:00:00"/>
    <n v="5"/>
    <x v="2"/>
    <x v="0"/>
    <n v="31.1"/>
    <n v="3"/>
    <n v="2"/>
    <n v="9"/>
    <x v="3"/>
    <n v="36.4"/>
    <n v="345.2"/>
    <n v="8.9"/>
    <n v="649.79999999999995"/>
    <n v="10746"/>
    <n v="15918"/>
    <n v="5177"/>
    <n v="24"/>
    <n v="25"/>
    <n v="1"/>
    <n v="17"/>
    <n v="0"/>
    <n v="148"/>
    <n v="18"/>
    <n v="88"/>
    <n v="1083"/>
    <n v="2"/>
    <n v="1"/>
    <n v="50"/>
    <n v="1.61"/>
    <n v="73"/>
    <n v="2.35"/>
    <s v="BOTTOM"/>
    <x v="0"/>
  </r>
  <r>
    <x v="23"/>
    <x v="2"/>
    <x v="0"/>
    <x v="0"/>
    <d v="2025-12-05T00:00:00"/>
    <n v="5"/>
    <x v="2"/>
    <x v="0"/>
    <n v="16.5"/>
    <n v="0"/>
    <n v="4"/>
    <n v="8"/>
    <x v="11"/>
    <n v="28.6"/>
    <n v="270.60000000000002"/>
    <n v="7.9"/>
    <n v="478.1"/>
    <n v="4474"/>
    <n v="10623"/>
    <n v="3800"/>
    <n v="12"/>
    <n v="22"/>
    <n v="1"/>
    <n v="7"/>
    <n v="0"/>
    <n v="77"/>
    <n v="11"/>
    <n v="51"/>
    <n v="286"/>
    <n v="0"/>
    <n v="0"/>
    <n v="20"/>
    <n v="1.21"/>
    <n v="37"/>
    <n v="2.2400000000000002"/>
    <s v="NONE"/>
    <x v="0"/>
  </r>
  <r>
    <x v="24"/>
    <x v="10"/>
    <x v="0"/>
    <x v="1"/>
    <d v="2025-12-10T00:00:00"/>
    <n v="3"/>
    <x v="0"/>
    <x v="5"/>
    <n v="28.7"/>
    <n v="6"/>
    <n v="12"/>
    <n v="3"/>
    <x v="19"/>
    <n v="50"/>
    <n v="600.79999999999995"/>
    <n v="20.100000000000001"/>
    <n v="519.20000000000005"/>
    <n v="17272"/>
    <n v="27756"/>
    <n v="13314"/>
    <n v="59"/>
    <n v="116"/>
    <n v="6"/>
    <n v="0"/>
    <n v="0"/>
    <n v="139"/>
    <n v="16"/>
    <n v="384"/>
    <n v="431"/>
    <n v="2"/>
    <n v="2"/>
    <n v="100"/>
    <n v="3.48"/>
    <n v="23"/>
    <n v="0.81"/>
    <s v="BOTTOM"/>
    <x v="4"/>
  </r>
  <r>
    <x v="25"/>
    <x v="2"/>
    <x v="0"/>
    <x v="1"/>
    <d v="2025-12-10T00:00:00"/>
    <n v="2"/>
    <x v="10"/>
    <x v="5"/>
    <n v="31.7"/>
    <n v="3"/>
    <n v="6"/>
    <n v="13"/>
    <x v="20"/>
    <n v="43.2"/>
    <n v="399.4"/>
    <n v="8.5"/>
    <n v="594.4"/>
    <n v="12670"/>
    <n v="25831"/>
    <n v="10418"/>
    <n v="28"/>
    <n v="12"/>
    <n v="0"/>
    <n v="21"/>
    <n v="0"/>
    <n v="144"/>
    <n v="18"/>
    <n v="205"/>
    <n v="877"/>
    <n v="0"/>
    <n v="1"/>
    <n v="42"/>
    <n v="1.32"/>
    <n v="68"/>
    <n v="2.17"/>
    <s v="MIDDLE"/>
    <x v="0"/>
  </r>
  <r>
    <x v="26"/>
    <x v="2"/>
    <x v="0"/>
    <x v="0"/>
    <d v="2025-12-26T00:00:00"/>
    <n v="3"/>
    <x v="0"/>
    <x v="0"/>
    <n v="37"/>
    <n v="4"/>
    <n v="5"/>
    <n v="21"/>
    <x v="0"/>
    <n v="56.8"/>
    <n v="805.7"/>
    <n v="11.9"/>
    <n v="668.7"/>
    <n v="29860"/>
    <n v="33229"/>
    <n v="30975"/>
    <n v="41"/>
    <n v="46"/>
    <n v="1"/>
    <n v="28"/>
    <n v="0"/>
    <n v="221"/>
    <n v="18"/>
    <n v="196"/>
    <n v="692"/>
    <n v="2"/>
    <n v="1"/>
    <n v="68"/>
    <n v="1.84"/>
    <n v="85"/>
    <n v="2.31"/>
    <s v="MIDDLE"/>
    <x v="0"/>
  </r>
  <r>
    <x v="27"/>
    <x v="2"/>
    <x v="0"/>
    <x v="1"/>
    <d v="2025-12-26T00:00:00"/>
    <n v="4"/>
    <x v="1"/>
    <x v="0"/>
    <n v="30.3"/>
    <n v="7"/>
    <n v="9"/>
    <n v="10"/>
    <x v="21"/>
    <n v="48.6"/>
    <n v="501.1"/>
    <n v="11.5"/>
    <n v="607.9"/>
    <n v="15199"/>
    <n v="30749"/>
    <n v="13514"/>
    <n v="29"/>
    <n v="5"/>
    <n v="0"/>
    <n v="22"/>
    <n v="0"/>
    <n v="162"/>
    <n v="18"/>
    <n v="306"/>
    <n v="479"/>
    <n v="5"/>
    <n v="2"/>
    <n v="34"/>
    <n v="1.1200000000000001"/>
    <n v="59"/>
    <n v="1.97"/>
    <s v="BOTTOM"/>
    <x v="0"/>
  </r>
  <r>
    <x v="28"/>
    <x v="2"/>
    <x v="0"/>
    <x v="0"/>
    <d v="2026-01-29T00:00:00"/>
    <n v="5"/>
    <x v="2"/>
    <x v="3"/>
    <n v="18.3"/>
    <n v="5"/>
    <n v="4"/>
    <n v="10"/>
    <x v="22"/>
    <n v="48.4"/>
    <n v="462.2"/>
    <n v="10.9"/>
    <n v="808.7"/>
    <n v="8470"/>
    <n v="15108"/>
    <n v="6673"/>
    <n v="20"/>
    <n v="19"/>
    <n v="0"/>
    <n v="11"/>
    <n v="0"/>
    <n v="99"/>
    <n v="16"/>
    <n v="100"/>
    <n v="292"/>
    <n v="2"/>
    <n v="2"/>
    <n v="45"/>
    <n v="2.46"/>
    <n v="32"/>
    <n v="1.79"/>
    <s v="NONE"/>
    <x v="0"/>
  </r>
  <r>
    <x v="29"/>
    <x v="0"/>
    <x v="0"/>
    <x v="0"/>
    <d v="2026-01-29T00:00:00"/>
    <n v="4"/>
    <x v="1"/>
    <x v="3"/>
    <n v="12.4"/>
    <n v="1"/>
    <n v="1"/>
    <n v="8"/>
    <x v="23"/>
    <n v="42.9"/>
    <n v="642.79999999999995"/>
    <n v="17.2"/>
    <n v="691.3"/>
    <n v="7963"/>
    <n v="8592"/>
    <n v="3958"/>
    <n v="27"/>
    <n v="2"/>
    <n v="0"/>
    <n v="15"/>
    <n v="0"/>
    <n v="100"/>
    <n v="11"/>
    <n v="22"/>
    <n v="459"/>
    <n v="0"/>
    <n v="1"/>
    <n v="24"/>
    <n v="1.94"/>
    <n v="17"/>
    <n v="1.39"/>
    <s v="NONE"/>
    <x v="0"/>
  </r>
  <r>
    <x v="30"/>
    <x v="0"/>
    <x v="0"/>
    <x v="0"/>
    <d v="2026-01-29T00:00:00"/>
    <n v="4"/>
    <x v="1"/>
    <x v="3"/>
    <n v="28.8"/>
    <n v="3"/>
    <n v="9"/>
    <n v="13"/>
    <x v="24"/>
    <n v="45.7"/>
    <n v="612.4"/>
    <n v="12.7"/>
    <n v="701.5"/>
    <n v="17609"/>
    <n v="58019"/>
    <n v="33362"/>
    <n v="37"/>
    <n v="21"/>
    <n v="0"/>
    <n v="34"/>
    <n v="0"/>
    <n v="237"/>
    <n v="18"/>
    <n v="283"/>
    <n v="442"/>
    <n v="2"/>
    <n v="1"/>
    <n v="110"/>
    <n v="3.83"/>
    <n v="68"/>
    <n v="2.38"/>
    <s v="BOTTOM"/>
    <x v="0"/>
  </r>
  <r>
    <x v="31"/>
    <x v="2"/>
    <x v="0"/>
    <x v="1"/>
    <d v="2026-01-29T00:00:00"/>
    <n v="4"/>
    <x v="1"/>
    <x v="3"/>
    <n v="20.100000000000001"/>
    <n v="0"/>
    <n v="5"/>
    <n v="0"/>
    <x v="5"/>
    <n v="0"/>
    <n v="301.60000000000002"/>
    <n v="10.6"/>
    <n v="571.6"/>
    <n v="6060"/>
    <n v="19581"/>
    <n v="8093"/>
    <n v="19"/>
    <n v="16"/>
    <n v="0"/>
    <n v="14"/>
    <n v="0"/>
    <n v="107"/>
    <n v="14"/>
    <n v="146"/>
    <n v="854"/>
    <n v="0"/>
    <n v="0"/>
    <n v="42"/>
    <n v="2.09"/>
    <n v="30"/>
    <n v="1.51"/>
    <s v="BOTTOM"/>
    <x v="0"/>
  </r>
  <r>
    <x v="32"/>
    <x v="0"/>
    <x v="0"/>
    <x v="1"/>
    <d v="2026-02-01T00:00:00"/>
    <n v="4"/>
    <x v="1"/>
    <x v="4"/>
    <n v="23.6"/>
    <n v="3"/>
    <n v="8"/>
    <n v="6"/>
    <x v="25"/>
    <n v="32.1"/>
    <n v="794.2"/>
    <n v="17.5"/>
    <n v="699.1"/>
    <n v="18723"/>
    <n v="39423"/>
    <n v="24685"/>
    <n v="62"/>
    <n v="79"/>
    <n v="13"/>
    <n v="31"/>
    <n v="1"/>
    <n v="226"/>
    <n v="18"/>
    <n v="210"/>
    <n v="403"/>
    <n v="2"/>
    <n v="1"/>
    <n v="91"/>
    <n v="3.86"/>
    <n v="21"/>
    <n v="0.91"/>
    <s v="BOTTOM"/>
    <x v="4"/>
  </r>
  <r>
    <x v="33"/>
    <x v="10"/>
    <x v="0"/>
    <x v="1"/>
    <d v="2026-02-01T00:00:00"/>
    <n v="5"/>
    <x v="2"/>
    <x v="4"/>
    <n v="17.399999999999999"/>
    <n v="4"/>
    <n v="6"/>
    <n v="3"/>
    <x v="26"/>
    <n v="46.7"/>
    <n v="687.9"/>
    <n v="17.100000000000001"/>
    <n v="687.6"/>
    <n v="11967"/>
    <n v="15439"/>
    <n v="7484"/>
    <n v="52"/>
    <n v="12"/>
    <n v="0"/>
    <n v="0"/>
    <n v="0"/>
    <n v="105"/>
    <n v="14"/>
    <n v="162"/>
    <n v="445"/>
    <n v="3"/>
    <n v="2"/>
    <n v="89"/>
    <n v="5.12"/>
    <n v="12"/>
    <n v="0.74"/>
    <s v="NONE"/>
    <x v="0"/>
  </r>
  <r>
    <x v="34"/>
    <x v="0"/>
    <x v="0"/>
    <x v="0"/>
    <d v="2026-02-01T00:00:00"/>
    <n v="5"/>
    <x v="2"/>
    <x v="4"/>
    <n v="16.100000000000001"/>
    <n v="3"/>
    <n v="1"/>
    <n v="6"/>
    <x v="23"/>
    <n v="28.1"/>
    <n v="602.29999999999995"/>
    <n v="12.3"/>
    <n v="718.2"/>
    <n v="9704"/>
    <n v="18029"/>
    <n v="20045"/>
    <n v="31"/>
    <n v="54"/>
    <n v="1"/>
    <n v="29"/>
    <n v="0"/>
    <n v="165"/>
    <n v="15"/>
    <n v="34"/>
    <n v="897"/>
    <n v="3"/>
    <n v="1"/>
    <n v="58"/>
    <n v="3.6"/>
    <n v="23"/>
    <n v="1.48"/>
    <s v="NONE"/>
    <x v="0"/>
  </r>
  <r>
    <x v="35"/>
    <x v="11"/>
    <x v="1"/>
    <x v="1"/>
    <d v="2026-02-13T00:00:00"/>
    <n v="7"/>
    <x v="9"/>
    <x v="0"/>
    <n v="19.899999999999999"/>
    <n v="4"/>
    <n v="11"/>
    <n v="35"/>
    <x v="27"/>
    <n v="75"/>
    <n v="556.70000000000005"/>
    <n v="9.6999999999999993"/>
    <n v="614.79999999999995"/>
    <n v="11076"/>
    <n v="52199"/>
    <n v="39883"/>
    <n v="19"/>
    <n v="112"/>
    <n v="11"/>
    <n v="55"/>
    <n v="0"/>
    <n v="99"/>
    <n v="18"/>
    <n v="288"/>
    <n v="189"/>
    <n v="3"/>
    <n v="1"/>
    <m/>
    <m/>
    <m/>
    <m/>
    <m/>
    <x v="1"/>
  </r>
  <r>
    <x v="36"/>
    <x v="2"/>
    <x v="1"/>
    <x v="1"/>
    <d v="2026-02-13T00:00:00"/>
    <n v="7"/>
    <x v="9"/>
    <x v="0"/>
    <n v="2.1"/>
    <n v="0"/>
    <n v="0"/>
    <n v="0"/>
    <x v="5"/>
    <n v="0"/>
    <n v="0"/>
    <n v="0"/>
    <n v="850.5"/>
    <n v="0"/>
    <n v="0"/>
    <n v="0"/>
    <n v="0"/>
    <n v="0"/>
    <n v="0"/>
    <n v="0"/>
    <n v="0"/>
    <n v="0"/>
    <n v="4"/>
    <n v="0"/>
    <n v="0"/>
    <n v="0"/>
    <n v="0"/>
    <m/>
    <m/>
    <m/>
    <m/>
    <m/>
    <x v="1"/>
  </r>
  <r>
    <x v="37"/>
    <x v="2"/>
    <x v="0"/>
    <x v="0"/>
    <d v="2026-04-07T00:00:00"/>
    <n v="5"/>
    <x v="2"/>
    <x v="2"/>
    <n v="27"/>
    <n v="0"/>
    <n v="8"/>
    <n v="11"/>
    <x v="28"/>
    <n v="30.6"/>
    <n v="359.7"/>
    <n v="6.5"/>
    <n v="733.5"/>
    <n v="9703"/>
    <n v="18712"/>
    <n v="8436"/>
    <n v="27"/>
    <n v="5"/>
    <n v="0"/>
    <n v="19"/>
    <n v="0"/>
    <n v="140"/>
    <n v="18"/>
    <n v="192"/>
    <n v="489"/>
    <n v="0"/>
    <n v="0"/>
    <n v="24"/>
    <n v="0.89"/>
    <n v="69"/>
    <n v="2.58"/>
    <s v="BOTTO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BE5BF-9E48-45E4-8757-72468CB6578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AB18" firstHeaderRow="1" firstDataRow="3" firstDataCol="1"/>
  <pivotFields count="37">
    <pivotField showAll="0"/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axis="axisCol" showAll="0">
      <items count="3">
        <item x="1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w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D4E01-DBB2-4BD7-8DF5-97005DCC41C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D115" firstHeaderRow="1" firstDataRow="2" firstDataCol="1"/>
  <pivotFields count="3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12">
        <item x="6"/>
        <item x="3"/>
        <item x="9"/>
        <item x="8"/>
        <item x="7"/>
        <item x="4"/>
        <item x="5"/>
        <item x="10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w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DC392-5B13-4083-A9BC-9A4E12C986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P17" firstHeaderRow="1" firstDataRow="2" firstDataCol="1" rowPageCount="1" colPageCount="1"/>
  <pivotFields count="37">
    <pivotField showAll="0"/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showAll="0"/>
    <pivotField axis="axisPage" dataField="1" multipleItemSelectionAllowed="1" showAll="0">
      <items count="3"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2"/>
        <item x="3"/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Count of w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63040-7C4D-47D6-8B11-C29D6018EC0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H96" firstHeaderRow="1" firstDataRow="2" firstDataCol="1"/>
  <pivotFields count="37">
    <pivotField showAll="0"/>
    <pivotField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numFmtId="164" showAll="0"/>
    <pivotField showAll="0"/>
    <pivotField showAll="0"/>
    <pivotField axis="axisCol" showAll="0">
      <items count="7">
        <item x="4"/>
        <item x="2"/>
        <item x="5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w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89C6C-B05A-4D4A-B001-A5926D41BE6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2:G136" firstHeaderRow="1" firstDataRow="3" firstDataCol="1"/>
  <pivotFields count="37">
    <pivotField dataField="1" showAll="0"/>
    <pivotField showAll="0"/>
    <pivotField showAll="0"/>
    <pivotField axis="axisCol" dataField="1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12">
        <item x="6"/>
        <item x="3"/>
        <item x="9"/>
        <item x="8"/>
        <item x="7"/>
        <item x="4"/>
        <item x="5"/>
        <item x="10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win" fld="3" subtotal="count" baseField="0" baseItem="0"/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742AF-F20E-4700-AD37-DF15AB782D1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8:J41" firstHeaderRow="0" firstDataRow="1" firstDataCol="1"/>
  <pivotFields count="37">
    <pivotField showAll="0"/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kda" fld="12" subtotal="average" baseField="1" baseItem="0"/>
    <dataField name="Max of kda" fld="12" subtotal="max" baseField="1" baseItem="0"/>
    <dataField name="Min of kda" fld="12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3DEBE-F9E4-4A44-B8F0-F4A01D85F3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37">
    <pivotField showAll="0"/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ame_mod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42D03-8D00-4932-BC34-E13D5533CDB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AD82" firstHeaderRow="1" firstDataRow="2" firstDataCol="1" rowPageCount="1" colPageCount="1"/>
  <pivotFields count="37">
    <pivotField axis="axisCol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6"/>
        <item x="17"/>
        <item x="18"/>
        <item x="15"/>
        <item x="21"/>
        <item x="19"/>
        <item x="20"/>
        <item x="23"/>
        <item x="22"/>
        <item x="25"/>
        <item x="24"/>
        <item x="26"/>
        <item x="27"/>
        <item x="29"/>
        <item x="30"/>
        <item x="31"/>
        <item x="28"/>
        <item x="32"/>
        <item x="34"/>
        <item x="33"/>
        <item x="36"/>
        <item x="35"/>
        <item x="37"/>
        <item t="default"/>
      </items>
    </pivotField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2"/>
    </i>
    <i>
      <x v="4"/>
    </i>
    <i>
      <x v="5"/>
    </i>
    <i>
      <x v="8"/>
    </i>
    <i>
      <x v="9"/>
    </i>
    <i t="grand">
      <x/>
    </i>
  </rowItems>
  <colFields count="1">
    <field x="0"/>
  </colFields>
  <colItems count="29">
    <i>
      <x/>
    </i>
    <i>
      <x v="1"/>
    </i>
    <i>
      <x v="2"/>
    </i>
    <i>
      <x v="4"/>
    </i>
    <i>
      <x v="5"/>
    </i>
    <i>
      <x v="6"/>
    </i>
    <i>
      <x v="8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7"/>
    </i>
    <i t="grand">
      <x/>
    </i>
  </colItems>
  <pageFields count="1">
    <pageField fld="2" hier="-1"/>
  </pageFields>
  <dataFields count="1">
    <dataField name="Sum of vision_score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987CE-0557-41CB-8793-2E1E98C67F7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02:Q115" firstHeaderRow="1" firstDataRow="2" firstDataCol="1"/>
  <pivotFields count="3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12">
        <item x="6"/>
        <item x="3"/>
        <item x="9"/>
        <item x="8"/>
        <item x="7"/>
        <item x="4"/>
        <item x="5"/>
        <item x="10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win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0C0B1-39B8-4B85-94F2-414E89D963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N65" firstHeaderRow="0" firstDataRow="1" firstDataCol="1" rowPageCount="2" colPageCount="1"/>
  <pivotFields count="37">
    <pivotField axis="axisPage" multipleItemSelectionAllowed="1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6"/>
        <item x="17"/>
        <item x="18"/>
        <item x="15"/>
        <item x="21"/>
        <item x="19"/>
        <item x="20"/>
        <item x="23"/>
        <item x="22"/>
        <item x="25"/>
        <item x="24"/>
        <item x="26"/>
        <item x="27"/>
        <item x="29"/>
        <item x="30"/>
        <item x="31"/>
        <item x="28"/>
        <item x="32"/>
        <item x="34"/>
        <item x="33"/>
        <item x="36"/>
        <item x="35"/>
        <item x="37"/>
        <item t="default"/>
      </items>
    </pivotField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3" hier="-1"/>
    <pageField fld="0" hier="-1"/>
  </pageFields>
  <dataFields count="13">
    <dataField name="Average of kills" fld="9" subtotal="average" baseField="1" baseItem="0"/>
    <dataField name="Max of kills" fld="9" subtotal="max" baseField="1" baseItem="0"/>
    <dataField name="Min of kills" fld="9" subtotal="min" baseField="1" baseItem="0"/>
    <dataField name="Average of deaths" fld="10" subtotal="average" baseField="1" baseItem="0"/>
    <dataField name="Average of assists" fld="11" subtotal="average" baseField="1" baseItem="0"/>
    <dataField name="Average of kill_participation" fld="13" subtotal="average" baseField="1" baseItem="0"/>
    <dataField name="Average of gold_per_min" fld="16" subtotal="average" baseField="1" baseItem="0"/>
    <dataField name="Average of skillshots_hit" fld="20" subtotal="average" baseField="1" baseItem="0"/>
    <dataField name="Average of skillshots_dodged" fld="21" subtotal="average" baseField="1" baseItem="0"/>
    <dataField name="Average of dodge_small_window" fld="22" subtotal="average" baseField="1" baseItem="0"/>
    <dataField name="Sum of immobilizations" fld="23" baseField="0" baseItem="0"/>
    <dataField name="Average of solo_kills" fld="24" subtotal="average" baseField="1" baseItem="0"/>
    <dataField name="Sum of ability_us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A97E7-3309-4437-8105-23EB0BF49D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D42" firstHeaderRow="1" firstDataRow="2" firstDataCol="1"/>
  <pivotFields count="37">
    <pivotField showAll="0"/>
    <pivotField axis="axisRow" showAll="0">
      <items count="13">
        <item x="7"/>
        <item x="5"/>
        <item x="8"/>
        <item x="4"/>
        <item x="10"/>
        <item x="9"/>
        <item x="6"/>
        <item x="1"/>
        <item x="2"/>
        <item x="0"/>
        <item x="1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0">
        <item x="5"/>
        <item x="1"/>
        <item x="16"/>
        <item x="15"/>
        <item x="19"/>
        <item x="25"/>
        <item x="26"/>
        <item x="28"/>
        <item x="24"/>
        <item x="21"/>
        <item x="11"/>
        <item x="12"/>
        <item x="18"/>
        <item x="20"/>
        <item x="4"/>
        <item x="7"/>
        <item x="27"/>
        <item x="22"/>
        <item x="0"/>
        <item x="9"/>
        <item x="10"/>
        <item x="14"/>
        <item x="3"/>
        <item x="17"/>
        <item x="2"/>
        <item x="8"/>
        <item x="23"/>
        <item x="1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kd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1A117-A536-4FDD-9A86-E80342C98A8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2:K115" firstHeaderRow="1" firstDataRow="2" firstDataCol="1"/>
  <pivotFields count="3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12">
        <item x="6"/>
        <item x="3"/>
        <item x="9"/>
        <item x="8"/>
        <item x="7"/>
        <item x="4"/>
        <item x="5"/>
        <item x="10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wi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8608-F880-4E95-B912-CD67A7AA3CB5}">
  <sheetPr>
    <tabColor theme="7" tint="-0.499984740745262"/>
  </sheetPr>
  <dimension ref="A1:AD138"/>
  <sheetViews>
    <sheetView tabSelected="1" workbookViewId="0">
      <selection activeCell="H17" sqref="H17"/>
    </sheetView>
  </sheetViews>
  <sheetFormatPr defaultRowHeight="14.5" x14ac:dyDescent="0.35"/>
  <cols>
    <col min="1" max="1" width="12.90625" bestFit="1" customWidth="1"/>
    <col min="2" max="2" width="16.1796875" bestFit="1" customWidth="1"/>
    <col min="3" max="3" width="16.90625" bestFit="1" customWidth="1"/>
    <col min="4" max="4" width="11.81640625" bestFit="1" customWidth="1"/>
    <col min="5" max="5" width="16.90625" bestFit="1" customWidth="1"/>
    <col min="6" max="6" width="16.7265625" bestFit="1" customWidth="1"/>
    <col min="7" max="7" width="21.6328125" bestFit="1" customWidth="1"/>
    <col min="8" max="9" width="22.1796875" bestFit="1" customWidth="1"/>
    <col min="10" max="10" width="26.453125" bestFit="1" customWidth="1"/>
    <col min="11" max="11" width="29.1796875" bestFit="1" customWidth="1"/>
    <col min="12" max="12" width="21.54296875" bestFit="1" customWidth="1"/>
    <col min="13" max="13" width="18.6328125" bestFit="1" customWidth="1"/>
    <col min="14" max="14" width="17.81640625" bestFit="1" customWidth="1"/>
    <col min="15" max="15" width="16.1796875" bestFit="1" customWidth="1"/>
    <col min="16" max="17" width="10.7265625" bestFit="1" customWidth="1"/>
    <col min="18" max="29" width="15.08984375" bestFit="1" customWidth="1"/>
    <col min="30" max="30" width="10.7265625" bestFit="1" customWidth="1"/>
    <col min="31" max="39" width="15.08984375" bestFit="1" customWidth="1"/>
    <col min="40" max="40" width="10.7265625" bestFit="1" customWidth="1"/>
  </cols>
  <sheetData>
    <row r="1" spans="1:28" x14ac:dyDescent="0.35">
      <c r="J1" s="4" t="s">
        <v>3</v>
      </c>
      <c r="K1" t="s">
        <v>106</v>
      </c>
    </row>
    <row r="2" spans="1:28" ht="21" x14ac:dyDescent="0.5">
      <c r="A2" s="9" t="s">
        <v>128</v>
      </c>
      <c r="B2" s="10"/>
      <c r="J2" s="9" t="s">
        <v>129</v>
      </c>
      <c r="U2" s="9" t="s">
        <v>130</v>
      </c>
      <c r="V2" s="8"/>
      <c r="W2" s="8"/>
    </row>
    <row r="3" spans="1:28" x14ac:dyDescent="0.35">
      <c r="A3" s="4" t="s">
        <v>105</v>
      </c>
      <c r="B3" s="4" t="s">
        <v>104</v>
      </c>
      <c r="J3" s="4" t="s">
        <v>108</v>
      </c>
      <c r="K3" s="4" t="s">
        <v>104</v>
      </c>
      <c r="U3" s="4" t="s">
        <v>108</v>
      </c>
      <c r="V3" s="4" t="s">
        <v>104</v>
      </c>
    </row>
    <row r="4" spans="1:28" x14ac:dyDescent="0.35">
      <c r="A4" s="4" t="s">
        <v>102</v>
      </c>
      <c r="B4" t="s">
        <v>64</v>
      </c>
      <c r="C4" t="s">
        <v>38</v>
      </c>
      <c r="D4" t="s">
        <v>103</v>
      </c>
      <c r="J4" s="4" t="s">
        <v>102</v>
      </c>
      <c r="K4" t="s">
        <v>41</v>
      </c>
      <c r="L4" t="s">
        <v>47</v>
      </c>
      <c r="M4" t="s">
        <v>52</v>
      </c>
      <c r="N4" t="s">
        <v>44</v>
      </c>
      <c r="O4" t="s">
        <v>107</v>
      </c>
      <c r="P4" t="s">
        <v>103</v>
      </c>
      <c r="V4" t="s">
        <v>64</v>
      </c>
      <c r="X4" t="s">
        <v>111</v>
      </c>
      <c r="Y4" t="s">
        <v>38</v>
      </c>
      <c r="AA4" t="s">
        <v>112</v>
      </c>
      <c r="AB4" t="s">
        <v>103</v>
      </c>
    </row>
    <row r="5" spans="1:28" x14ac:dyDescent="0.35">
      <c r="A5" s="5" t="s">
        <v>76</v>
      </c>
      <c r="B5" s="6">
        <v>1</v>
      </c>
      <c r="C5" s="6"/>
      <c r="D5" s="6">
        <v>1</v>
      </c>
      <c r="J5" s="5" t="s">
        <v>76</v>
      </c>
      <c r="K5" s="6"/>
      <c r="L5" s="6"/>
      <c r="M5" s="6"/>
      <c r="N5" s="6"/>
      <c r="O5" s="6">
        <v>1</v>
      </c>
      <c r="P5" s="6">
        <v>1</v>
      </c>
      <c r="U5" s="4" t="s">
        <v>102</v>
      </c>
      <c r="V5" t="s">
        <v>110</v>
      </c>
      <c r="W5" t="s">
        <v>109</v>
      </c>
      <c r="Y5" t="s">
        <v>110</v>
      </c>
      <c r="Z5" t="s">
        <v>109</v>
      </c>
    </row>
    <row r="6" spans="1:28" x14ac:dyDescent="0.35">
      <c r="A6" s="5" t="s">
        <v>94</v>
      </c>
      <c r="B6" s="6">
        <v>1</v>
      </c>
      <c r="C6" s="6"/>
      <c r="D6" s="6">
        <v>1</v>
      </c>
      <c r="J6" s="5" t="s">
        <v>94</v>
      </c>
      <c r="K6" s="6"/>
      <c r="L6" s="6"/>
      <c r="M6" s="6"/>
      <c r="N6" s="6"/>
      <c r="O6" s="6">
        <v>1</v>
      </c>
      <c r="P6" s="6">
        <v>1</v>
      </c>
      <c r="U6" s="5" t="s">
        <v>76</v>
      </c>
      <c r="V6" s="6"/>
      <c r="W6" s="6">
        <v>1</v>
      </c>
      <c r="X6" s="6">
        <v>1</v>
      </c>
      <c r="Y6" s="6"/>
      <c r="Z6" s="6"/>
      <c r="AA6" s="6"/>
      <c r="AB6" s="6">
        <v>1</v>
      </c>
    </row>
    <row r="7" spans="1:28" x14ac:dyDescent="0.35">
      <c r="A7" s="5" t="s">
        <v>51</v>
      </c>
      <c r="B7" s="6"/>
      <c r="C7" s="6">
        <v>2</v>
      </c>
      <c r="D7" s="6">
        <v>2</v>
      </c>
      <c r="J7" s="5" t="s">
        <v>51</v>
      </c>
      <c r="K7" s="6"/>
      <c r="L7" s="6"/>
      <c r="M7" s="6">
        <v>1</v>
      </c>
      <c r="N7" s="6">
        <v>1</v>
      </c>
      <c r="O7" s="6"/>
      <c r="P7" s="6">
        <v>2</v>
      </c>
      <c r="U7" s="5" t="s">
        <v>94</v>
      </c>
      <c r="V7" s="6">
        <v>1</v>
      </c>
      <c r="W7" s="6"/>
      <c r="X7" s="6">
        <v>1</v>
      </c>
      <c r="Y7" s="6"/>
      <c r="Z7" s="6"/>
      <c r="AA7" s="6"/>
      <c r="AB7" s="6">
        <v>1</v>
      </c>
    </row>
    <row r="8" spans="1:28" x14ac:dyDescent="0.35">
      <c r="A8" s="5" t="s">
        <v>92</v>
      </c>
      <c r="B8" s="6">
        <v>1</v>
      </c>
      <c r="C8" s="6"/>
      <c r="D8" s="6">
        <v>1</v>
      </c>
      <c r="J8" s="5" t="s">
        <v>92</v>
      </c>
      <c r="K8" s="6"/>
      <c r="L8" s="6"/>
      <c r="M8" s="6"/>
      <c r="N8" s="6"/>
      <c r="O8" s="6">
        <v>1</v>
      </c>
      <c r="P8" s="6">
        <v>1</v>
      </c>
      <c r="U8" s="5" t="s">
        <v>51</v>
      </c>
      <c r="V8" s="6"/>
      <c r="W8" s="6"/>
      <c r="X8" s="6"/>
      <c r="Y8" s="6"/>
      <c r="Z8" s="6">
        <v>2</v>
      </c>
      <c r="AA8" s="6">
        <v>2</v>
      </c>
      <c r="AB8" s="6">
        <v>2</v>
      </c>
    </row>
    <row r="9" spans="1:28" x14ac:dyDescent="0.35">
      <c r="A9" s="5" t="s">
        <v>56</v>
      </c>
      <c r="B9" s="6"/>
      <c r="C9" s="6">
        <v>2</v>
      </c>
      <c r="D9" s="6">
        <v>2</v>
      </c>
      <c r="J9" s="5" t="s">
        <v>56</v>
      </c>
      <c r="K9" s="6">
        <v>1</v>
      </c>
      <c r="L9" s="6"/>
      <c r="M9" s="6"/>
      <c r="N9" s="6">
        <v>1</v>
      </c>
      <c r="O9" s="6"/>
      <c r="P9" s="6">
        <v>2</v>
      </c>
      <c r="U9" s="5" t="s">
        <v>92</v>
      </c>
      <c r="V9" s="6">
        <v>1</v>
      </c>
      <c r="W9" s="6"/>
      <c r="X9" s="6">
        <v>1</v>
      </c>
      <c r="Y9" s="6"/>
      <c r="Z9" s="6"/>
      <c r="AA9" s="6"/>
      <c r="AB9" s="6">
        <v>1</v>
      </c>
    </row>
    <row r="10" spans="1:28" x14ac:dyDescent="0.35">
      <c r="A10" s="5" t="s">
        <v>69</v>
      </c>
      <c r="B10" s="6"/>
      <c r="C10" s="6">
        <v>1</v>
      </c>
      <c r="D10" s="6">
        <v>1</v>
      </c>
      <c r="J10" s="5" t="s">
        <v>69</v>
      </c>
      <c r="K10" s="6"/>
      <c r="L10" s="6"/>
      <c r="M10" s="6"/>
      <c r="N10" s="6">
        <v>1</v>
      </c>
      <c r="O10" s="6"/>
      <c r="P10" s="6">
        <v>1</v>
      </c>
      <c r="U10" s="5" t="s">
        <v>56</v>
      </c>
      <c r="V10" s="6"/>
      <c r="W10" s="6"/>
      <c r="X10" s="6"/>
      <c r="Y10" s="6">
        <v>2</v>
      </c>
      <c r="Z10" s="6"/>
      <c r="AA10" s="6">
        <v>2</v>
      </c>
      <c r="AB10" s="6">
        <v>2</v>
      </c>
    </row>
    <row r="11" spans="1:28" x14ac:dyDescent="0.35">
      <c r="A11" s="5" t="s">
        <v>98</v>
      </c>
      <c r="B11" s="6">
        <v>1</v>
      </c>
      <c r="C11" s="6"/>
      <c r="D11" s="6">
        <v>1</v>
      </c>
      <c r="J11" s="5" t="s">
        <v>98</v>
      </c>
      <c r="K11" s="6"/>
      <c r="L11" s="6"/>
      <c r="M11" s="6"/>
      <c r="N11" s="6"/>
      <c r="O11" s="6">
        <v>1</v>
      </c>
      <c r="P11" s="6">
        <v>1</v>
      </c>
      <c r="U11" s="5" t="s">
        <v>69</v>
      </c>
      <c r="V11" s="6"/>
      <c r="W11" s="6"/>
      <c r="X11" s="6"/>
      <c r="Y11" s="6">
        <v>1</v>
      </c>
      <c r="Z11" s="6"/>
      <c r="AA11" s="6">
        <v>1</v>
      </c>
      <c r="AB11" s="6">
        <v>1</v>
      </c>
    </row>
    <row r="12" spans="1:28" x14ac:dyDescent="0.35">
      <c r="A12" s="5" t="s">
        <v>72</v>
      </c>
      <c r="B12" s="6">
        <v>1</v>
      </c>
      <c r="C12" s="6"/>
      <c r="D12" s="6">
        <v>1</v>
      </c>
      <c r="J12" s="5" t="s">
        <v>72</v>
      </c>
      <c r="K12" s="6"/>
      <c r="L12" s="6"/>
      <c r="M12" s="6"/>
      <c r="N12" s="6"/>
      <c r="O12" s="6">
        <v>1</v>
      </c>
      <c r="P12" s="6">
        <v>1</v>
      </c>
      <c r="U12" s="5" t="s">
        <v>98</v>
      </c>
      <c r="V12" s="6"/>
      <c r="W12" s="6">
        <v>1</v>
      </c>
      <c r="X12" s="6">
        <v>1</v>
      </c>
      <c r="Y12" s="6"/>
      <c r="Z12" s="6"/>
      <c r="AA12" s="6"/>
      <c r="AB12" s="6">
        <v>1</v>
      </c>
    </row>
    <row r="13" spans="1:28" x14ac:dyDescent="0.35">
      <c r="A13" s="5" t="s">
        <v>43</v>
      </c>
      <c r="B13" s="6">
        <v>1</v>
      </c>
      <c r="C13" s="6">
        <v>12</v>
      </c>
      <c r="D13" s="6">
        <v>13</v>
      </c>
      <c r="E13" t="s">
        <v>138</v>
      </c>
      <c r="F13" s="11">
        <f>13/38</f>
        <v>0.34210526315789475</v>
      </c>
      <c r="J13" s="5" t="s">
        <v>43</v>
      </c>
      <c r="K13" s="6"/>
      <c r="L13" s="6"/>
      <c r="M13" s="6"/>
      <c r="N13" s="6">
        <v>12</v>
      </c>
      <c r="O13" s="6">
        <v>1</v>
      </c>
      <c r="P13" s="6">
        <v>13</v>
      </c>
      <c r="U13" s="5" t="s">
        <v>72</v>
      </c>
      <c r="V13" s="6"/>
      <c r="W13" s="6">
        <v>1</v>
      </c>
      <c r="X13" s="6">
        <v>1</v>
      </c>
      <c r="Y13" s="6"/>
      <c r="Z13" s="6"/>
      <c r="AA13" s="6"/>
      <c r="AB13" s="6">
        <v>1</v>
      </c>
    </row>
    <row r="14" spans="1:28" x14ac:dyDescent="0.35">
      <c r="A14" s="5" t="s">
        <v>37</v>
      </c>
      <c r="B14" s="6">
        <v>2</v>
      </c>
      <c r="C14" s="6">
        <v>11</v>
      </c>
      <c r="D14" s="6">
        <v>13</v>
      </c>
      <c r="J14" s="5" t="s">
        <v>37</v>
      </c>
      <c r="K14" s="6">
        <v>3</v>
      </c>
      <c r="L14" s="6">
        <v>1</v>
      </c>
      <c r="M14" s="6"/>
      <c r="N14" s="6">
        <v>7</v>
      </c>
      <c r="O14" s="6">
        <v>2</v>
      </c>
      <c r="P14" s="6">
        <v>13</v>
      </c>
      <c r="U14" s="5" t="s">
        <v>43</v>
      </c>
      <c r="V14" s="6">
        <v>1</v>
      </c>
      <c r="W14" s="6"/>
      <c r="X14" s="6">
        <v>1</v>
      </c>
      <c r="Y14" s="6">
        <v>4</v>
      </c>
      <c r="Z14" s="6">
        <v>8</v>
      </c>
      <c r="AA14" s="6">
        <v>12</v>
      </c>
      <c r="AB14" s="6">
        <v>13</v>
      </c>
    </row>
    <row r="15" spans="1:28" x14ac:dyDescent="0.35">
      <c r="A15" s="5" t="s">
        <v>66</v>
      </c>
      <c r="B15" s="6">
        <v>1</v>
      </c>
      <c r="C15" s="6"/>
      <c r="D15" s="6">
        <v>1</v>
      </c>
      <c r="J15" s="5" t="s">
        <v>66</v>
      </c>
      <c r="K15" s="6"/>
      <c r="L15" s="6"/>
      <c r="M15" s="6"/>
      <c r="N15" s="6"/>
      <c r="O15" s="6">
        <v>1</v>
      </c>
      <c r="P15" s="6">
        <v>1</v>
      </c>
      <c r="U15" s="5" t="s">
        <v>37</v>
      </c>
      <c r="V15" s="6">
        <v>2</v>
      </c>
      <c r="W15" s="6"/>
      <c r="X15" s="6">
        <v>2</v>
      </c>
      <c r="Y15" s="6">
        <v>5</v>
      </c>
      <c r="Z15" s="6">
        <v>6</v>
      </c>
      <c r="AA15" s="6">
        <v>11</v>
      </c>
      <c r="AB15" s="6">
        <v>13</v>
      </c>
    </row>
    <row r="16" spans="1:28" x14ac:dyDescent="0.35">
      <c r="A16" s="5" t="s">
        <v>63</v>
      </c>
      <c r="B16" s="6">
        <v>1</v>
      </c>
      <c r="C16" s="6"/>
      <c r="D16" s="6">
        <v>1</v>
      </c>
      <c r="E16" t="s">
        <v>139</v>
      </c>
      <c r="F16" s="11">
        <f>(38-13-13)/38</f>
        <v>0.31578947368421051</v>
      </c>
      <c r="J16" s="5" t="s">
        <v>63</v>
      </c>
      <c r="K16" s="6"/>
      <c r="L16" s="6"/>
      <c r="M16" s="6"/>
      <c r="N16" s="6"/>
      <c r="O16" s="6">
        <v>1</v>
      </c>
      <c r="P16" s="6">
        <v>1</v>
      </c>
      <c r="U16" s="5" t="s">
        <v>66</v>
      </c>
      <c r="V16" s="6">
        <v>1</v>
      </c>
      <c r="W16" s="6"/>
      <c r="X16" s="6">
        <v>1</v>
      </c>
      <c r="Y16" s="6"/>
      <c r="Z16" s="6"/>
      <c r="AA16" s="6"/>
      <c r="AB16" s="6">
        <v>1</v>
      </c>
    </row>
    <row r="17" spans="1:28" x14ac:dyDescent="0.35">
      <c r="A17" s="5" t="s">
        <v>103</v>
      </c>
      <c r="B17" s="6">
        <v>10</v>
      </c>
      <c r="C17" s="6">
        <v>28</v>
      </c>
      <c r="D17" s="6">
        <v>38</v>
      </c>
      <c r="J17" s="5" t="s">
        <v>103</v>
      </c>
      <c r="K17" s="6">
        <v>4</v>
      </c>
      <c r="L17" s="6">
        <v>1</v>
      </c>
      <c r="M17" s="6">
        <v>1</v>
      </c>
      <c r="N17" s="6">
        <v>22</v>
      </c>
      <c r="O17" s="6">
        <v>10</v>
      </c>
      <c r="P17" s="6">
        <v>38</v>
      </c>
      <c r="U17" s="5" t="s">
        <v>63</v>
      </c>
      <c r="V17" s="6"/>
      <c r="W17" s="6">
        <v>1</v>
      </c>
      <c r="X17" s="6">
        <v>1</v>
      </c>
      <c r="Y17" s="6"/>
      <c r="Z17" s="6"/>
      <c r="AA17" s="6"/>
      <c r="AB17" s="6">
        <v>1</v>
      </c>
    </row>
    <row r="18" spans="1:28" x14ac:dyDescent="0.35">
      <c r="O18" t="s">
        <v>64</v>
      </c>
      <c r="U18" s="5" t="s">
        <v>103</v>
      </c>
      <c r="V18" s="6">
        <v>6</v>
      </c>
      <c r="W18" s="6">
        <v>4</v>
      </c>
      <c r="X18" s="6">
        <v>10</v>
      </c>
      <c r="Y18" s="6">
        <v>12</v>
      </c>
      <c r="Z18" s="6">
        <v>16</v>
      </c>
      <c r="AA18" s="6">
        <v>28</v>
      </c>
      <c r="AB18" s="6">
        <v>38</v>
      </c>
    </row>
    <row r="27" spans="1:28" ht="21" x14ac:dyDescent="0.5">
      <c r="A27" s="9" t="s">
        <v>131</v>
      </c>
      <c r="B27" s="8"/>
      <c r="C27" s="8"/>
      <c r="D27" s="8"/>
      <c r="E27" s="8"/>
      <c r="F27" s="8"/>
      <c r="G27" s="8"/>
      <c r="H27" s="8"/>
      <c r="I27" s="8"/>
    </row>
    <row r="28" spans="1:28" x14ac:dyDescent="0.35">
      <c r="A28" s="4" t="s">
        <v>113</v>
      </c>
      <c r="B28" s="4" t="s">
        <v>104</v>
      </c>
      <c r="G28" s="4" t="s">
        <v>102</v>
      </c>
      <c r="H28" t="s">
        <v>140</v>
      </c>
      <c r="I28" t="s">
        <v>141</v>
      </c>
      <c r="J28" t="s">
        <v>142</v>
      </c>
    </row>
    <row r="29" spans="1:28" x14ac:dyDescent="0.35">
      <c r="A29" s="4" t="s">
        <v>102</v>
      </c>
      <c r="B29" t="s">
        <v>64</v>
      </c>
      <c r="C29" t="s">
        <v>38</v>
      </c>
      <c r="D29" t="s">
        <v>103</v>
      </c>
      <c r="G29" s="5" t="s">
        <v>76</v>
      </c>
      <c r="H29" s="6">
        <v>5.875</v>
      </c>
      <c r="I29" s="6">
        <v>5.875</v>
      </c>
      <c r="J29" s="6">
        <v>5.875</v>
      </c>
    </row>
    <row r="30" spans="1:28" x14ac:dyDescent="0.35">
      <c r="A30" s="5" t="s">
        <v>76</v>
      </c>
      <c r="B30" s="6">
        <v>5.875</v>
      </c>
      <c r="C30" s="6"/>
      <c r="D30" s="6">
        <v>5.875</v>
      </c>
      <c r="G30" s="5" t="s">
        <v>94</v>
      </c>
      <c r="H30" s="6">
        <v>2.2999999999999998</v>
      </c>
      <c r="I30" s="6">
        <v>2.2999999999999998</v>
      </c>
      <c r="J30" s="6">
        <v>2.2999999999999998</v>
      </c>
    </row>
    <row r="31" spans="1:28" x14ac:dyDescent="0.35">
      <c r="A31" s="5" t="s">
        <v>94</v>
      </c>
      <c r="B31" s="6">
        <v>2.2999999999999998</v>
      </c>
      <c r="C31" s="6"/>
      <c r="D31" s="6">
        <v>2.2999999999999998</v>
      </c>
      <c r="G31" s="5" t="s">
        <v>51</v>
      </c>
      <c r="H31" s="6">
        <v>1</v>
      </c>
      <c r="I31" s="6">
        <v>2</v>
      </c>
      <c r="J31" s="6">
        <v>0</v>
      </c>
    </row>
    <row r="32" spans="1:28" x14ac:dyDescent="0.35">
      <c r="A32" s="5" t="s">
        <v>51</v>
      </c>
      <c r="B32" s="6"/>
      <c r="C32" s="6">
        <v>2</v>
      </c>
      <c r="D32" s="6">
        <v>2</v>
      </c>
      <c r="G32" s="5" t="s">
        <v>92</v>
      </c>
      <c r="H32" s="6">
        <v>2</v>
      </c>
      <c r="I32" s="6">
        <v>2</v>
      </c>
      <c r="J32" s="6">
        <v>2</v>
      </c>
    </row>
    <row r="33" spans="1:10" x14ac:dyDescent="0.35">
      <c r="A33" s="5" t="s">
        <v>92</v>
      </c>
      <c r="B33" s="6">
        <v>2</v>
      </c>
      <c r="C33" s="6"/>
      <c r="D33" s="6">
        <v>2</v>
      </c>
      <c r="G33" s="5" t="s">
        <v>56</v>
      </c>
      <c r="H33" s="6">
        <v>0.95833333333333004</v>
      </c>
      <c r="I33" s="6">
        <v>1.1666666666666601</v>
      </c>
      <c r="J33" s="6">
        <v>0.75</v>
      </c>
    </row>
    <row r="34" spans="1:10" x14ac:dyDescent="0.35">
      <c r="A34" s="5" t="s">
        <v>56</v>
      </c>
      <c r="B34" s="6"/>
      <c r="C34" s="6">
        <v>1.9166666666666601</v>
      </c>
      <c r="D34" s="6">
        <v>1.9166666666666601</v>
      </c>
      <c r="G34" s="5" t="s">
        <v>69</v>
      </c>
      <c r="H34" s="6">
        <v>0.66666666666666596</v>
      </c>
      <c r="I34" s="6">
        <v>0.66666666666666596</v>
      </c>
      <c r="J34" s="6">
        <v>0.66666666666666596</v>
      </c>
    </row>
    <row r="35" spans="1:10" x14ac:dyDescent="0.35">
      <c r="A35" s="5" t="s">
        <v>69</v>
      </c>
      <c r="B35" s="6"/>
      <c r="C35" s="6">
        <v>0.66666666666666596</v>
      </c>
      <c r="D35" s="6">
        <v>0.66666666666666596</v>
      </c>
      <c r="G35" s="5" t="s">
        <v>98</v>
      </c>
      <c r="H35" s="6">
        <v>14.3333333333333</v>
      </c>
      <c r="I35" s="6">
        <v>14.3333333333333</v>
      </c>
      <c r="J35" s="6">
        <v>14.3333333333333</v>
      </c>
    </row>
    <row r="36" spans="1:10" x14ac:dyDescent="0.35">
      <c r="A36" s="5" t="s">
        <v>98</v>
      </c>
      <c r="B36" s="6">
        <v>14.3333333333333</v>
      </c>
      <c r="C36" s="6"/>
      <c r="D36" s="6">
        <v>14.3333333333333</v>
      </c>
      <c r="G36" s="5" t="s">
        <v>72</v>
      </c>
      <c r="H36" s="6">
        <v>6</v>
      </c>
      <c r="I36" s="6">
        <v>6</v>
      </c>
      <c r="J36" s="6">
        <v>6</v>
      </c>
    </row>
    <row r="37" spans="1:10" x14ac:dyDescent="0.35">
      <c r="A37" s="5" t="s">
        <v>72</v>
      </c>
      <c r="B37" s="6">
        <v>6</v>
      </c>
      <c r="C37" s="6"/>
      <c r="D37" s="6">
        <v>6</v>
      </c>
      <c r="G37" s="5" t="s">
        <v>43</v>
      </c>
      <c r="H37" s="6">
        <v>3.2831196581196567</v>
      </c>
      <c r="I37" s="6">
        <v>7.5</v>
      </c>
      <c r="J37" s="6">
        <v>0</v>
      </c>
    </row>
    <row r="38" spans="1:10" x14ac:dyDescent="0.35">
      <c r="A38" s="5" t="s">
        <v>43</v>
      </c>
      <c r="B38" s="6">
        <v>0</v>
      </c>
      <c r="C38" s="6">
        <v>42.680555555555536</v>
      </c>
      <c r="D38" s="6">
        <v>42.680555555555536</v>
      </c>
      <c r="G38" s="5" t="s">
        <v>37</v>
      </c>
      <c r="H38" s="6">
        <v>4.7530025530025517</v>
      </c>
      <c r="I38" s="6">
        <v>16</v>
      </c>
      <c r="J38" s="6">
        <v>0</v>
      </c>
    </row>
    <row r="39" spans="1:10" x14ac:dyDescent="0.35">
      <c r="A39" s="5" t="s">
        <v>37</v>
      </c>
      <c r="B39" s="6">
        <v>9.0779220779220697</v>
      </c>
      <c r="C39" s="6">
        <v>52.711111111111101</v>
      </c>
      <c r="D39" s="6">
        <v>61.789033189033169</v>
      </c>
      <c r="G39" s="5" t="s">
        <v>66</v>
      </c>
      <c r="H39" s="6">
        <v>3.5454545454545401</v>
      </c>
      <c r="I39" s="6">
        <v>3.5454545454545401</v>
      </c>
      <c r="J39" s="6">
        <v>3.5454545454545401</v>
      </c>
    </row>
    <row r="40" spans="1:10" x14ac:dyDescent="0.35">
      <c r="A40" s="5" t="s">
        <v>66</v>
      </c>
      <c r="B40" s="6">
        <v>3.5454545454545401</v>
      </c>
      <c r="C40" s="6"/>
      <c r="D40" s="6">
        <v>3.5454545454545401</v>
      </c>
      <c r="G40" s="5" t="s">
        <v>63</v>
      </c>
      <c r="H40" s="6">
        <v>5.0999999999999996</v>
      </c>
      <c r="I40" s="6">
        <v>5.0999999999999996</v>
      </c>
      <c r="J40" s="6">
        <v>5.0999999999999996</v>
      </c>
    </row>
    <row r="41" spans="1:10" x14ac:dyDescent="0.35">
      <c r="A41" s="5" t="s">
        <v>63</v>
      </c>
      <c r="B41" s="6">
        <v>5.0999999999999996</v>
      </c>
      <c r="C41" s="6"/>
      <c r="D41" s="6">
        <v>5.0999999999999996</v>
      </c>
      <c r="G41" s="5" t="s">
        <v>103</v>
      </c>
      <c r="H41" s="6">
        <v>3.9001765778081543</v>
      </c>
      <c r="I41" s="6">
        <v>16</v>
      </c>
      <c r="J41" s="6">
        <v>0</v>
      </c>
    </row>
    <row r="42" spans="1:10" x14ac:dyDescent="0.35">
      <c r="A42" s="5" t="s">
        <v>103</v>
      </c>
      <c r="B42" s="6">
        <v>48.231709956709913</v>
      </c>
      <c r="C42" s="6">
        <v>99.974999999999966</v>
      </c>
      <c r="D42" s="6">
        <v>148.20670995670986</v>
      </c>
    </row>
    <row r="48" spans="1:10" ht="21" x14ac:dyDescent="0.5">
      <c r="A48" s="9" t="s">
        <v>132</v>
      </c>
      <c r="B48" s="8"/>
    </row>
    <row r="49" spans="1:16" x14ac:dyDescent="0.35">
      <c r="A49" s="4" t="s">
        <v>3</v>
      </c>
      <c r="B49" t="s">
        <v>106</v>
      </c>
    </row>
    <row r="50" spans="1:16" x14ac:dyDescent="0.35">
      <c r="A50" s="4" t="s">
        <v>0</v>
      </c>
      <c r="B50" t="s">
        <v>106</v>
      </c>
    </row>
    <row r="52" spans="1:16" x14ac:dyDescent="0.35">
      <c r="A52" s="4" t="s">
        <v>102</v>
      </c>
      <c r="B52" t="s">
        <v>143</v>
      </c>
      <c r="C52" t="s">
        <v>144</v>
      </c>
      <c r="D52" t="s">
        <v>145</v>
      </c>
      <c r="E52" t="s">
        <v>146</v>
      </c>
      <c r="F52" t="s">
        <v>147</v>
      </c>
      <c r="G52" t="s">
        <v>148</v>
      </c>
      <c r="H52" t="s">
        <v>149</v>
      </c>
      <c r="I52" t="s">
        <v>150</v>
      </c>
      <c r="J52" t="s">
        <v>151</v>
      </c>
      <c r="K52" t="s">
        <v>152</v>
      </c>
      <c r="L52" t="s">
        <v>114</v>
      </c>
      <c r="M52" t="s">
        <v>153</v>
      </c>
      <c r="N52" t="s">
        <v>115</v>
      </c>
    </row>
    <row r="53" spans="1:16" x14ac:dyDescent="0.35">
      <c r="A53" s="5" t="s">
        <v>76</v>
      </c>
      <c r="B53" s="6">
        <v>4</v>
      </c>
      <c r="C53" s="6">
        <v>4</v>
      </c>
      <c r="D53" s="6">
        <v>4</v>
      </c>
      <c r="E53" s="6">
        <v>8</v>
      </c>
      <c r="F53" s="6">
        <v>43</v>
      </c>
      <c r="G53" s="6">
        <v>82.5</v>
      </c>
      <c r="H53" s="6">
        <v>649.79999999999995</v>
      </c>
      <c r="I53" s="6">
        <v>29</v>
      </c>
      <c r="J53" s="6">
        <v>49</v>
      </c>
      <c r="K53" s="6">
        <v>2</v>
      </c>
      <c r="L53" s="6">
        <v>9</v>
      </c>
      <c r="M53" s="6">
        <v>0</v>
      </c>
      <c r="N53" s="6">
        <v>256</v>
      </c>
    </row>
    <row r="54" spans="1:16" x14ac:dyDescent="0.35">
      <c r="A54" s="5" t="s">
        <v>94</v>
      </c>
      <c r="B54" s="6">
        <v>9</v>
      </c>
      <c r="C54" s="6">
        <v>9</v>
      </c>
      <c r="D54" s="6">
        <v>9</v>
      </c>
      <c r="E54" s="6">
        <v>10</v>
      </c>
      <c r="F54" s="6">
        <v>14</v>
      </c>
      <c r="G54" s="6">
        <v>65.7</v>
      </c>
      <c r="H54" s="6">
        <v>764.8</v>
      </c>
      <c r="I54" s="6">
        <v>10</v>
      </c>
      <c r="J54" s="6">
        <v>93</v>
      </c>
      <c r="K54" s="6">
        <v>9</v>
      </c>
      <c r="L54" s="6">
        <v>2</v>
      </c>
      <c r="M54" s="6">
        <v>0</v>
      </c>
      <c r="N54" s="6">
        <v>96</v>
      </c>
    </row>
    <row r="55" spans="1:16" x14ac:dyDescent="0.35">
      <c r="A55" s="5" t="s">
        <v>51</v>
      </c>
      <c r="B55" s="6">
        <v>0</v>
      </c>
      <c r="C55" s="6">
        <v>0</v>
      </c>
      <c r="D55" s="6">
        <v>0</v>
      </c>
      <c r="E55" s="6">
        <v>1.5</v>
      </c>
      <c r="F55" s="6">
        <v>3</v>
      </c>
      <c r="G55" s="6">
        <v>14.3</v>
      </c>
      <c r="H55" s="6">
        <v>393.5</v>
      </c>
      <c r="I55" s="6">
        <v>4.5</v>
      </c>
      <c r="J55" s="6">
        <v>47</v>
      </c>
      <c r="K55" s="6">
        <v>7</v>
      </c>
      <c r="L55" s="6">
        <v>13</v>
      </c>
      <c r="M55" s="6">
        <v>0</v>
      </c>
      <c r="N55" s="6">
        <v>390</v>
      </c>
    </row>
    <row r="56" spans="1:16" x14ac:dyDescent="0.35">
      <c r="A56" s="5" t="s">
        <v>92</v>
      </c>
      <c r="B56" s="6">
        <v>1</v>
      </c>
      <c r="C56" s="6">
        <v>1</v>
      </c>
      <c r="D56" s="6">
        <v>1</v>
      </c>
      <c r="E56" s="6">
        <v>4</v>
      </c>
      <c r="F56" s="6">
        <v>7</v>
      </c>
      <c r="G56" s="6">
        <v>72.7</v>
      </c>
      <c r="H56" s="6">
        <v>639.6</v>
      </c>
      <c r="I56" s="6">
        <v>18</v>
      </c>
      <c r="J56" s="6">
        <v>66</v>
      </c>
      <c r="K56" s="6">
        <v>4</v>
      </c>
      <c r="L56" s="6">
        <v>27</v>
      </c>
      <c r="M56" s="6">
        <v>0</v>
      </c>
      <c r="N56" s="6">
        <v>91</v>
      </c>
    </row>
    <row r="57" spans="1:16" x14ac:dyDescent="0.35">
      <c r="A57" s="5" t="s">
        <v>56</v>
      </c>
      <c r="B57" s="6">
        <v>5</v>
      </c>
      <c r="C57" s="6">
        <v>6</v>
      </c>
      <c r="D57" s="6">
        <v>4</v>
      </c>
      <c r="E57" s="6">
        <v>9</v>
      </c>
      <c r="F57" s="6">
        <v>3</v>
      </c>
      <c r="G57" s="6">
        <v>48.35</v>
      </c>
      <c r="H57" s="6">
        <v>603.40000000000009</v>
      </c>
      <c r="I57" s="6">
        <v>55.5</v>
      </c>
      <c r="J57" s="6">
        <v>64</v>
      </c>
      <c r="K57" s="6">
        <v>3</v>
      </c>
      <c r="L57" s="6">
        <v>0</v>
      </c>
      <c r="M57" s="6">
        <v>0</v>
      </c>
      <c r="N57" s="6">
        <v>244</v>
      </c>
    </row>
    <row r="58" spans="1:16" x14ac:dyDescent="0.35">
      <c r="A58" s="5" t="s">
        <v>69</v>
      </c>
      <c r="B58" s="6">
        <v>0</v>
      </c>
      <c r="C58" s="6">
        <v>0</v>
      </c>
      <c r="D58" s="6">
        <v>0</v>
      </c>
      <c r="E58" s="6">
        <v>3</v>
      </c>
      <c r="F58" s="6">
        <v>2</v>
      </c>
      <c r="G58" s="6">
        <v>15.4</v>
      </c>
      <c r="H58" s="6">
        <v>464.2</v>
      </c>
      <c r="I58" s="6">
        <v>0</v>
      </c>
      <c r="J58" s="6">
        <v>9</v>
      </c>
      <c r="K58" s="6">
        <v>0</v>
      </c>
      <c r="L58" s="6">
        <v>11</v>
      </c>
      <c r="M58" s="6">
        <v>0</v>
      </c>
      <c r="N58" s="6">
        <v>146</v>
      </c>
    </row>
    <row r="59" spans="1:16" x14ac:dyDescent="0.35">
      <c r="A59" s="5" t="s">
        <v>98</v>
      </c>
      <c r="B59" s="6">
        <v>3</v>
      </c>
      <c r="C59" s="6">
        <v>3</v>
      </c>
      <c r="D59" s="6">
        <v>3</v>
      </c>
      <c r="E59" s="6">
        <v>3</v>
      </c>
      <c r="F59" s="6">
        <v>40</v>
      </c>
      <c r="G59" s="6">
        <v>100</v>
      </c>
      <c r="H59" s="6">
        <v>671.3</v>
      </c>
      <c r="I59" s="6">
        <v>41</v>
      </c>
      <c r="J59" s="6">
        <v>50</v>
      </c>
      <c r="K59" s="6">
        <v>1</v>
      </c>
      <c r="L59" s="6">
        <v>37</v>
      </c>
      <c r="M59" s="6">
        <v>0</v>
      </c>
      <c r="N59" s="6">
        <v>180</v>
      </c>
    </row>
    <row r="60" spans="1:16" x14ac:dyDescent="0.35">
      <c r="A60" s="5" t="s">
        <v>72</v>
      </c>
      <c r="B60" s="6">
        <v>8</v>
      </c>
      <c r="C60" s="6">
        <v>8</v>
      </c>
      <c r="D60" s="6">
        <v>8</v>
      </c>
      <c r="E60" s="6">
        <v>5</v>
      </c>
      <c r="F60" s="6">
        <v>22</v>
      </c>
      <c r="G60" s="6">
        <v>58.8</v>
      </c>
      <c r="H60" s="6">
        <v>765.8</v>
      </c>
      <c r="I60" s="6">
        <v>32</v>
      </c>
      <c r="J60" s="6">
        <v>19</v>
      </c>
      <c r="K60" s="6">
        <v>0</v>
      </c>
      <c r="L60" s="6">
        <v>27</v>
      </c>
      <c r="M60" s="6">
        <v>0</v>
      </c>
      <c r="N60" s="6">
        <v>104</v>
      </c>
    </row>
    <row r="61" spans="1:16" x14ac:dyDescent="0.35">
      <c r="A61" s="5" t="s">
        <v>43</v>
      </c>
      <c r="B61" s="6">
        <v>2.6153846153846154</v>
      </c>
      <c r="C61" s="6">
        <v>7</v>
      </c>
      <c r="D61" s="6">
        <v>0</v>
      </c>
      <c r="E61" s="6">
        <v>4.3076923076923075</v>
      </c>
      <c r="F61" s="6">
        <v>9.615384615384615</v>
      </c>
      <c r="G61" s="6">
        <v>37.700000000000003</v>
      </c>
      <c r="H61" s="6">
        <v>641.69230769230774</v>
      </c>
      <c r="I61" s="6">
        <v>22.46153846153846</v>
      </c>
      <c r="J61" s="6">
        <v>19.923076923076923</v>
      </c>
      <c r="K61" s="6">
        <v>1.1538461538461537</v>
      </c>
      <c r="L61" s="6">
        <v>217</v>
      </c>
      <c r="M61" s="6">
        <v>7.6923076923076927E-2</v>
      </c>
      <c r="N61" s="6">
        <v>1647</v>
      </c>
      <c r="O61" t="s">
        <v>154</v>
      </c>
      <c r="P61">
        <f>1647/13</f>
        <v>126.69230769230769</v>
      </c>
    </row>
    <row r="62" spans="1:16" x14ac:dyDescent="0.35">
      <c r="A62" s="5" t="s">
        <v>37</v>
      </c>
      <c r="B62" s="6">
        <v>3.9230769230769229</v>
      </c>
      <c r="C62" s="6">
        <v>12</v>
      </c>
      <c r="D62" s="6">
        <v>0</v>
      </c>
      <c r="E62" s="6">
        <v>5.0769230769230766</v>
      </c>
      <c r="F62" s="6">
        <v>10.846153846153847</v>
      </c>
      <c r="G62" s="6">
        <v>43.207692307692312</v>
      </c>
      <c r="H62" s="6">
        <v>593.00769230769231</v>
      </c>
      <c r="I62" s="6">
        <v>51.384615384615387</v>
      </c>
      <c r="J62" s="6">
        <v>48.384615384615387</v>
      </c>
      <c r="K62" s="6">
        <v>4.3076923076923075</v>
      </c>
      <c r="L62" s="6">
        <v>474</v>
      </c>
      <c r="M62" s="6">
        <v>0.30769230769230771</v>
      </c>
      <c r="N62" s="6">
        <v>2608</v>
      </c>
      <c r="O62" s="6" t="s">
        <v>154</v>
      </c>
      <c r="P62">
        <f>2608/13</f>
        <v>200.61538461538461</v>
      </c>
    </row>
    <row r="63" spans="1:16" x14ac:dyDescent="0.35">
      <c r="A63" s="5" t="s">
        <v>66</v>
      </c>
      <c r="B63" s="6">
        <v>4</v>
      </c>
      <c r="C63" s="6">
        <v>4</v>
      </c>
      <c r="D63" s="6">
        <v>4</v>
      </c>
      <c r="E63" s="6">
        <v>11</v>
      </c>
      <c r="F63" s="6">
        <v>35</v>
      </c>
      <c r="G63" s="6">
        <v>75</v>
      </c>
      <c r="H63" s="6">
        <v>614.79999999999995</v>
      </c>
      <c r="I63" s="6">
        <v>19</v>
      </c>
      <c r="J63" s="6">
        <v>112</v>
      </c>
      <c r="K63" s="6">
        <v>11</v>
      </c>
      <c r="L63" s="6">
        <v>55</v>
      </c>
      <c r="M63" s="6">
        <v>0</v>
      </c>
      <c r="N63" s="6">
        <v>99</v>
      </c>
    </row>
    <row r="64" spans="1:16" x14ac:dyDescent="0.35">
      <c r="A64" s="5" t="s">
        <v>63</v>
      </c>
      <c r="B64" s="6">
        <v>8</v>
      </c>
      <c r="C64" s="6">
        <v>8</v>
      </c>
      <c r="D64" s="6">
        <v>8</v>
      </c>
      <c r="E64" s="6">
        <v>10</v>
      </c>
      <c r="F64" s="6">
        <v>43</v>
      </c>
      <c r="G64" s="6">
        <v>67.099999999999994</v>
      </c>
      <c r="H64" s="6">
        <v>645.29999999999995</v>
      </c>
      <c r="I64" s="6">
        <v>68</v>
      </c>
      <c r="J64" s="6">
        <v>65</v>
      </c>
      <c r="K64" s="6">
        <v>2</v>
      </c>
      <c r="L64" s="6">
        <v>29</v>
      </c>
      <c r="M64" s="6">
        <v>0</v>
      </c>
      <c r="N64" s="6">
        <v>314</v>
      </c>
    </row>
    <row r="65" spans="1:30" x14ac:dyDescent="0.35">
      <c r="A65" s="5" t="s">
        <v>103</v>
      </c>
      <c r="B65" s="6">
        <v>3.4736842105263159</v>
      </c>
      <c r="C65" s="6">
        <v>12</v>
      </c>
      <c r="D65" s="6">
        <v>0</v>
      </c>
      <c r="E65" s="6">
        <v>5.1842105263157894</v>
      </c>
      <c r="F65" s="6">
        <v>12.736842105263158</v>
      </c>
      <c r="G65" s="6">
        <v>45.113157894736837</v>
      </c>
      <c r="H65" s="6">
        <v>612.11842105263133</v>
      </c>
      <c r="I65" s="6">
        <v>34.131578947368418</v>
      </c>
      <c r="J65" s="6">
        <v>41.39473684210526</v>
      </c>
      <c r="K65" s="6">
        <v>3.1578947368421053</v>
      </c>
      <c r="L65" s="6">
        <v>901</v>
      </c>
      <c r="M65" s="6">
        <v>0.13157894736842105</v>
      </c>
      <c r="N65" s="6">
        <v>6175</v>
      </c>
    </row>
    <row r="72" spans="1:30" ht="21" x14ac:dyDescent="0.5">
      <c r="A72" s="9" t="s">
        <v>133</v>
      </c>
      <c r="B72" s="8"/>
      <c r="C72" s="8"/>
    </row>
    <row r="73" spans="1:30" x14ac:dyDescent="0.35">
      <c r="A73" s="4" t="s">
        <v>2</v>
      </c>
      <c r="B73" t="s">
        <v>38</v>
      </c>
    </row>
    <row r="75" spans="1:30" x14ac:dyDescent="0.35">
      <c r="A75" s="4" t="s">
        <v>116</v>
      </c>
      <c r="B75" s="4" t="s">
        <v>104</v>
      </c>
    </row>
    <row r="76" spans="1:30" x14ac:dyDescent="0.35">
      <c r="A76" s="4" t="s">
        <v>102</v>
      </c>
      <c r="B76" t="s">
        <v>59</v>
      </c>
      <c r="C76" t="s">
        <v>96</v>
      </c>
      <c r="D76" t="s">
        <v>100</v>
      </c>
      <c r="E76" t="s">
        <v>74</v>
      </c>
      <c r="F76" t="s">
        <v>79</v>
      </c>
      <c r="G76" t="s">
        <v>45</v>
      </c>
      <c r="H76" t="s">
        <v>99</v>
      </c>
      <c r="I76" t="s">
        <v>50</v>
      </c>
      <c r="J76" t="s">
        <v>53</v>
      </c>
      <c r="K76" t="s">
        <v>68</v>
      </c>
      <c r="L76" t="s">
        <v>42</v>
      </c>
      <c r="M76" t="s">
        <v>88</v>
      </c>
      <c r="N76" t="s">
        <v>48</v>
      </c>
      <c r="O76" t="s">
        <v>86</v>
      </c>
      <c r="P76" t="s">
        <v>73</v>
      </c>
      <c r="Q76" t="s">
        <v>61</v>
      </c>
      <c r="R76" t="s">
        <v>82</v>
      </c>
      <c r="S76" t="s">
        <v>78</v>
      </c>
      <c r="T76" t="s">
        <v>85</v>
      </c>
      <c r="U76" t="s">
        <v>95</v>
      </c>
      <c r="V76" t="s">
        <v>70</v>
      </c>
      <c r="W76" t="s">
        <v>80</v>
      </c>
      <c r="X76" t="s">
        <v>87</v>
      </c>
      <c r="Y76" t="s">
        <v>57</v>
      </c>
      <c r="Z76" t="s">
        <v>36</v>
      </c>
      <c r="AA76" t="s">
        <v>58</v>
      </c>
      <c r="AB76" t="s">
        <v>55</v>
      </c>
      <c r="AC76" t="s">
        <v>89</v>
      </c>
      <c r="AD76" t="s">
        <v>103</v>
      </c>
    </row>
    <row r="77" spans="1:30" x14ac:dyDescent="0.35">
      <c r="A77" s="5" t="s">
        <v>51</v>
      </c>
      <c r="B77" s="6"/>
      <c r="C77" s="6"/>
      <c r="D77" s="6"/>
      <c r="E77" s="6"/>
      <c r="F77" s="6"/>
      <c r="G77" s="6"/>
      <c r="H77" s="6"/>
      <c r="I77" s="6">
        <v>0</v>
      </c>
      <c r="J77" s="6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>
        <v>19</v>
      </c>
    </row>
    <row r="78" spans="1:30" x14ac:dyDescent="0.35">
      <c r="A78" s="5" t="s">
        <v>56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23</v>
      </c>
      <c r="T78" s="6"/>
      <c r="U78" s="6"/>
      <c r="V78" s="6"/>
      <c r="W78" s="6"/>
      <c r="X78" s="6"/>
      <c r="Y78" s="6"/>
      <c r="Z78" s="6"/>
      <c r="AA78" s="6"/>
      <c r="AB78" s="6">
        <v>12</v>
      </c>
      <c r="AC78" s="6"/>
      <c r="AD78" s="6">
        <v>35</v>
      </c>
    </row>
    <row r="79" spans="1:30" x14ac:dyDescent="0.35">
      <c r="A79" s="5" t="s">
        <v>69</v>
      </c>
      <c r="B79" s="6"/>
      <c r="C79" s="6"/>
      <c r="D79" s="6"/>
      <c r="E79" s="6"/>
      <c r="F79" s="6"/>
      <c r="G79" s="6"/>
      <c r="H79" s="6"/>
      <c r="I79" s="6"/>
      <c r="J79" s="6"/>
      <c r="K79" s="6">
        <v>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8</v>
      </c>
    </row>
    <row r="80" spans="1:30" x14ac:dyDescent="0.35">
      <c r="A80" s="5" t="s">
        <v>43</v>
      </c>
      <c r="B80" s="6"/>
      <c r="C80" s="6"/>
      <c r="D80" s="6"/>
      <c r="E80" s="6">
        <v>45</v>
      </c>
      <c r="F80" s="6"/>
      <c r="G80" s="6"/>
      <c r="H80" s="6">
        <v>70</v>
      </c>
      <c r="I80" s="6"/>
      <c r="J80" s="6"/>
      <c r="K80" s="6"/>
      <c r="L80" s="6">
        <v>39</v>
      </c>
      <c r="M80" s="6"/>
      <c r="N80" s="6"/>
      <c r="O80" s="6">
        <v>75</v>
      </c>
      <c r="P80" s="6">
        <v>37</v>
      </c>
      <c r="Q80" s="6">
        <v>73</v>
      </c>
      <c r="R80" s="6">
        <v>68</v>
      </c>
      <c r="S80" s="6"/>
      <c r="T80" s="6">
        <v>85</v>
      </c>
      <c r="U80" s="6">
        <v>59</v>
      </c>
      <c r="V80" s="6"/>
      <c r="W80" s="6"/>
      <c r="X80" s="6">
        <v>30</v>
      </c>
      <c r="Y80" s="6">
        <v>32</v>
      </c>
      <c r="Z80" s="6"/>
      <c r="AA80" s="6"/>
      <c r="AB80" s="6"/>
      <c r="AC80" s="6">
        <v>69</v>
      </c>
      <c r="AD80" s="6">
        <v>682</v>
      </c>
    </row>
    <row r="81" spans="1:30" x14ac:dyDescent="0.35">
      <c r="A81" s="5" t="s">
        <v>37</v>
      </c>
      <c r="B81" s="6">
        <v>63</v>
      </c>
      <c r="C81" s="6">
        <v>26</v>
      </c>
      <c r="D81" s="6">
        <v>65</v>
      </c>
      <c r="E81" s="6"/>
      <c r="F81" s="6">
        <v>27</v>
      </c>
      <c r="G81" s="6">
        <v>62</v>
      </c>
      <c r="H81" s="6"/>
      <c r="I81" s="6"/>
      <c r="J81" s="6"/>
      <c r="K81" s="6"/>
      <c r="L81" s="6"/>
      <c r="M81" s="6">
        <v>22</v>
      </c>
      <c r="N81" s="6">
        <v>16</v>
      </c>
      <c r="O81" s="6"/>
      <c r="P81" s="6"/>
      <c r="Q81" s="6"/>
      <c r="R81" s="6"/>
      <c r="S81" s="6"/>
      <c r="T81" s="6"/>
      <c r="U81" s="6"/>
      <c r="V81" s="6">
        <v>17</v>
      </c>
      <c r="W81" s="6">
        <v>68</v>
      </c>
      <c r="X81" s="6"/>
      <c r="Y81" s="6"/>
      <c r="Z81" s="6">
        <v>21</v>
      </c>
      <c r="AA81" s="6">
        <v>23</v>
      </c>
      <c r="AB81" s="6"/>
      <c r="AC81" s="6"/>
      <c r="AD81" s="6">
        <v>410</v>
      </c>
    </row>
    <row r="82" spans="1:30" x14ac:dyDescent="0.35">
      <c r="A82" s="5" t="s">
        <v>103</v>
      </c>
      <c r="B82" s="6">
        <v>63</v>
      </c>
      <c r="C82" s="6">
        <v>26</v>
      </c>
      <c r="D82" s="6">
        <v>65</v>
      </c>
      <c r="E82" s="6">
        <v>45</v>
      </c>
      <c r="F82" s="6">
        <v>27</v>
      </c>
      <c r="G82" s="6">
        <v>62</v>
      </c>
      <c r="H82" s="6">
        <v>70</v>
      </c>
      <c r="I82" s="6">
        <v>0</v>
      </c>
      <c r="J82" s="6">
        <v>19</v>
      </c>
      <c r="K82" s="6">
        <v>8</v>
      </c>
      <c r="L82" s="6">
        <v>39</v>
      </c>
      <c r="M82" s="6">
        <v>22</v>
      </c>
      <c r="N82" s="6">
        <v>16</v>
      </c>
      <c r="O82" s="6">
        <v>75</v>
      </c>
      <c r="P82" s="6">
        <v>37</v>
      </c>
      <c r="Q82" s="6">
        <v>73</v>
      </c>
      <c r="R82" s="6">
        <v>68</v>
      </c>
      <c r="S82" s="6">
        <v>23</v>
      </c>
      <c r="T82" s="6">
        <v>85</v>
      </c>
      <c r="U82" s="6">
        <v>59</v>
      </c>
      <c r="V82" s="6">
        <v>17</v>
      </c>
      <c r="W82" s="6">
        <v>68</v>
      </c>
      <c r="X82" s="6">
        <v>30</v>
      </c>
      <c r="Y82" s="6">
        <v>32</v>
      </c>
      <c r="Z82" s="6">
        <v>21</v>
      </c>
      <c r="AA82" s="6">
        <v>23</v>
      </c>
      <c r="AB82" s="6">
        <v>12</v>
      </c>
      <c r="AC82" s="6">
        <v>69</v>
      </c>
      <c r="AD82" s="6">
        <v>1154</v>
      </c>
    </row>
    <row r="91" spans="1:30" ht="21" x14ac:dyDescent="0.5">
      <c r="A91" s="9" t="s">
        <v>134</v>
      </c>
      <c r="B91" s="8"/>
    </row>
    <row r="92" spans="1:30" x14ac:dyDescent="0.35">
      <c r="A92" s="4" t="s">
        <v>108</v>
      </c>
      <c r="B92" s="4" t="s">
        <v>104</v>
      </c>
    </row>
    <row r="93" spans="1:30" x14ac:dyDescent="0.35">
      <c r="A93" s="4" t="s">
        <v>102</v>
      </c>
      <c r="B93" t="s">
        <v>39</v>
      </c>
      <c r="C93" t="s">
        <v>90</v>
      </c>
      <c r="D93" t="s">
        <v>49</v>
      </c>
      <c r="E93" t="s">
        <v>46</v>
      </c>
      <c r="F93" t="s">
        <v>60</v>
      </c>
      <c r="G93" t="s">
        <v>77</v>
      </c>
      <c r="H93" t="s">
        <v>103</v>
      </c>
    </row>
    <row r="94" spans="1:30" x14ac:dyDescent="0.35">
      <c r="A94" s="5" t="s">
        <v>110</v>
      </c>
      <c r="B94" s="6">
        <v>5</v>
      </c>
      <c r="C94" s="6"/>
      <c r="D94" s="6">
        <v>4</v>
      </c>
      <c r="E94" s="6">
        <v>5</v>
      </c>
      <c r="F94" s="6">
        <v>3</v>
      </c>
      <c r="G94" s="6">
        <v>1</v>
      </c>
      <c r="H94" s="6">
        <v>18</v>
      </c>
    </row>
    <row r="95" spans="1:30" x14ac:dyDescent="0.35">
      <c r="A95" s="5" t="s">
        <v>109</v>
      </c>
      <c r="B95" s="6">
        <v>5</v>
      </c>
      <c r="C95" s="6">
        <v>2</v>
      </c>
      <c r="D95" s="6">
        <v>1</v>
      </c>
      <c r="E95" s="6">
        <v>6</v>
      </c>
      <c r="F95" s="6">
        <v>5</v>
      </c>
      <c r="G95" s="6">
        <v>1</v>
      </c>
      <c r="H95" s="6">
        <v>20</v>
      </c>
    </row>
    <row r="96" spans="1:30" x14ac:dyDescent="0.35">
      <c r="A96" s="5" t="s">
        <v>103</v>
      </c>
      <c r="B96" s="6">
        <v>10</v>
      </c>
      <c r="C96" s="6">
        <v>2</v>
      </c>
      <c r="D96" s="6">
        <v>5</v>
      </c>
      <c r="E96" s="6">
        <v>11</v>
      </c>
      <c r="F96" s="6">
        <v>8</v>
      </c>
      <c r="G96" s="6">
        <v>2</v>
      </c>
      <c r="H96" s="6">
        <v>38</v>
      </c>
    </row>
    <row r="101" spans="1:17" ht="21" x14ac:dyDescent="0.5">
      <c r="A101" s="9" t="s">
        <v>135</v>
      </c>
      <c r="B101" s="8"/>
      <c r="H101" s="9" t="s">
        <v>136</v>
      </c>
      <c r="I101" s="8"/>
      <c r="N101" s="9" t="s">
        <v>137</v>
      </c>
      <c r="O101" s="8"/>
      <c r="P101" s="8"/>
    </row>
    <row r="102" spans="1:17" x14ac:dyDescent="0.35">
      <c r="A102" s="4" t="s">
        <v>108</v>
      </c>
      <c r="B102" s="4" t="s">
        <v>104</v>
      </c>
      <c r="H102" s="4" t="s">
        <v>108</v>
      </c>
      <c r="I102" s="4" t="s">
        <v>104</v>
      </c>
      <c r="N102" s="4" t="s">
        <v>108</v>
      </c>
      <c r="O102" s="4" t="s">
        <v>104</v>
      </c>
    </row>
    <row r="103" spans="1:17" x14ac:dyDescent="0.35">
      <c r="A103" s="4" t="s">
        <v>102</v>
      </c>
      <c r="B103" t="s">
        <v>110</v>
      </c>
      <c r="C103" t="s">
        <v>109</v>
      </c>
      <c r="D103" t="s">
        <v>103</v>
      </c>
      <c r="H103" s="4" t="s">
        <v>102</v>
      </c>
      <c r="I103" t="s">
        <v>110</v>
      </c>
      <c r="J103" t="s">
        <v>109</v>
      </c>
      <c r="K103" t="s">
        <v>103</v>
      </c>
      <c r="N103" s="4" t="s">
        <v>102</v>
      </c>
      <c r="O103" t="s">
        <v>110</v>
      </c>
      <c r="P103" t="s">
        <v>109</v>
      </c>
      <c r="Q103" t="s">
        <v>103</v>
      </c>
    </row>
    <row r="104" spans="1:17" x14ac:dyDescent="0.35">
      <c r="A104" s="5" t="s">
        <v>117</v>
      </c>
      <c r="B104" s="6">
        <v>2</v>
      </c>
      <c r="C104" s="6"/>
      <c r="D104" s="6">
        <v>2</v>
      </c>
      <c r="H104" s="5" t="s">
        <v>117</v>
      </c>
      <c r="I104" s="7">
        <v>1</v>
      </c>
      <c r="J104" s="7">
        <v>0</v>
      </c>
      <c r="K104" s="7">
        <v>1</v>
      </c>
      <c r="N104" s="5" t="s">
        <v>117</v>
      </c>
      <c r="O104" s="7">
        <v>5.2631578947368418E-2</v>
      </c>
      <c r="P104" s="7">
        <v>0</v>
      </c>
      <c r="Q104" s="7">
        <v>5.2631578947368418E-2</v>
      </c>
    </row>
    <row r="105" spans="1:17" x14ac:dyDescent="0.35">
      <c r="A105" s="5" t="s">
        <v>118</v>
      </c>
      <c r="B105" s="6">
        <v>1</v>
      </c>
      <c r="C105" s="6">
        <v>4</v>
      </c>
      <c r="D105" s="6">
        <v>5</v>
      </c>
      <c r="H105" s="5" t="s">
        <v>118</v>
      </c>
      <c r="I105" s="7">
        <v>0.2</v>
      </c>
      <c r="J105" s="7">
        <v>0.8</v>
      </c>
      <c r="K105" s="7">
        <v>1</v>
      </c>
      <c r="N105" s="5" t="s">
        <v>118</v>
      </c>
      <c r="O105" s="7">
        <v>2.6315789473684209E-2</v>
      </c>
      <c r="P105" s="7">
        <v>0.10526315789473684</v>
      </c>
      <c r="Q105" s="7">
        <v>0.13157894736842105</v>
      </c>
    </row>
    <row r="106" spans="1:17" x14ac:dyDescent="0.35">
      <c r="A106" s="5" t="s">
        <v>119</v>
      </c>
      <c r="B106" s="6">
        <v>2</v>
      </c>
      <c r="C106" s="6">
        <v>2</v>
      </c>
      <c r="D106" s="6">
        <v>4</v>
      </c>
      <c r="H106" s="5" t="s">
        <v>119</v>
      </c>
      <c r="I106" s="7">
        <v>0.5</v>
      </c>
      <c r="J106" s="7">
        <v>0.5</v>
      </c>
      <c r="K106" s="7">
        <v>1</v>
      </c>
      <c r="N106" s="5" t="s">
        <v>119</v>
      </c>
      <c r="O106" s="7">
        <v>5.2631578947368418E-2</v>
      </c>
      <c r="P106" s="7">
        <v>5.2631578947368418E-2</v>
      </c>
      <c r="Q106" s="7">
        <v>0.10526315789473684</v>
      </c>
    </row>
    <row r="107" spans="1:17" x14ac:dyDescent="0.35">
      <c r="A107" s="5" t="s">
        <v>120</v>
      </c>
      <c r="B107" s="6">
        <v>2</v>
      </c>
      <c r="C107" s="6"/>
      <c r="D107" s="6">
        <v>2</v>
      </c>
      <c r="H107" s="5" t="s">
        <v>120</v>
      </c>
      <c r="I107" s="7">
        <v>1</v>
      </c>
      <c r="J107" s="7">
        <v>0</v>
      </c>
      <c r="K107" s="7">
        <v>1</v>
      </c>
      <c r="N107" s="5" t="s">
        <v>120</v>
      </c>
      <c r="O107" s="7">
        <v>5.2631578947368418E-2</v>
      </c>
      <c r="P107" s="7">
        <v>0</v>
      </c>
      <c r="Q107" s="7">
        <v>5.2631578947368418E-2</v>
      </c>
    </row>
    <row r="108" spans="1:17" x14ac:dyDescent="0.35">
      <c r="A108" s="5" t="s">
        <v>121</v>
      </c>
      <c r="B108" s="6"/>
      <c r="C108" s="6">
        <v>1</v>
      </c>
      <c r="D108" s="6">
        <v>1</v>
      </c>
      <c r="H108" s="5" t="s">
        <v>121</v>
      </c>
      <c r="I108" s="7">
        <v>0</v>
      </c>
      <c r="J108" s="7">
        <v>1</v>
      </c>
      <c r="K108" s="7">
        <v>1</v>
      </c>
      <c r="N108" s="5" t="s">
        <v>121</v>
      </c>
      <c r="O108" s="7">
        <v>0</v>
      </c>
      <c r="P108" s="7">
        <v>2.6315789473684209E-2</v>
      </c>
      <c r="Q108" s="7">
        <v>2.6315789473684209E-2</v>
      </c>
    </row>
    <row r="109" spans="1:17" x14ac:dyDescent="0.35">
      <c r="A109" s="5" t="s">
        <v>122</v>
      </c>
      <c r="B109" s="6"/>
      <c r="C109" s="6">
        <v>2</v>
      </c>
      <c r="D109" s="6">
        <v>2</v>
      </c>
      <c r="H109" s="5" t="s">
        <v>122</v>
      </c>
      <c r="I109" s="7">
        <v>0</v>
      </c>
      <c r="J109" s="7">
        <v>1</v>
      </c>
      <c r="K109" s="7">
        <v>1</v>
      </c>
      <c r="N109" s="5" t="s">
        <v>122</v>
      </c>
      <c r="O109" s="7">
        <v>0</v>
      </c>
      <c r="P109" s="7">
        <v>5.2631578947368418E-2</v>
      </c>
      <c r="Q109" s="7">
        <v>5.2631578947368418E-2</v>
      </c>
    </row>
    <row r="110" spans="1:17" x14ac:dyDescent="0.35">
      <c r="A110" s="5" t="s">
        <v>123</v>
      </c>
      <c r="B110" s="6">
        <v>2</v>
      </c>
      <c r="C110" s="6"/>
      <c r="D110" s="6">
        <v>2</v>
      </c>
      <c r="H110" s="5" t="s">
        <v>123</v>
      </c>
      <c r="I110" s="7">
        <v>1</v>
      </c>
      <c r="J110" s="7">
        <v>0</v>
      </c>
      <c r="K110" s="7">
        <v>1</v>
      </c>
      <c r="N110" s="5" t="s">
        <v>123</v>
      </c>
      <c r="O110" s="7">
        <v>5.2631578947368418E-2</v>
      </c>
      <c r="P110" s="7">
        <v>0</v>
      </c>
      <c r="Q110" s="7">
        <v>5.2631578947368418E-2</v>
      </c>
    </row>
    <row r="111" spans="1:17" x14ac:dyDescent="0.35">
      <c r="A111" s="5" t="s">
        <v>124</v>
      </c>
      <c r="B111" s="6">
        <v>1</v>
      </c>
      <c r="C111" s="6"/>
      <c r="D111" s="6">
        <v>1</v>
      </c>
      <c r="H111" s="5" t="s">
        <v>124</v>
      </c>
      <c r="I111" s="7">
        <v>1</v>
      </c>
      <c r="J111" s="7">
        <v>0</v>
      </c>
      <c r="K111" s="7">
        <v>1</v>
      </c>
      <c r="N111" s="5" t="s">
        <v>124</v>
      </c>
      <c r="O111" s="7">
        <v>2.6315789473684209E-2</v>
      </c>
      <c r="P111" s="7">
        <v>0</v>
      </c>
      <c r="Q111" s="7">
        <v>2.6315789473684209E-2</v>
      </c>
    </row>
    <row r="112" spans="1:17" x14ac:dyDescent="0.35">
      <c r="A112" s="5" t="s">
        <v>125</v>
      </c>
      <c r="B112" s="6">
        <v>1</v>
      </c>
      <c r="C112" s="6">
        <v>2</v>
      </c>
      <c r="D112" s="6">
        <v>3</v>
      </c>
      <c r="H112" s="5" t="s">
        <v>125</v>
      </c>
      <c r="I112" s="7">
        <v>0.33333333333333331</v>
      </c>
      <c r="J112" s="7">
        <v>0.66666666666666663</v>
      </c>
      <c r="K112" s="7">
        <v>1</v>
      </c>
      <c r="N112" s="5" t="s">
        <v>125</v>
      </c>
      <c r="O112" s="7">
        <v>2.6315789473684209E-2</v>
      </c>
      <c r="P112" s="7">
        <v>5.2631578947368418E-2</v>
      </c>
      <c r="Q112" s="7">
        <v>7.8947368421052627E-2</v>
      </c>
    </row>
    <row r="113" spans="1:17" x14ac:dyDescent="0.35">
      <c r="A113" s="5" t="s">
        <v>126</v>
      </c>
      <c r="B113" s="6">
        <v>5</v>
      </c>
      <c r="C113" s="6">
        <v>2</v>
      </c>
      <c r="D113" s="6">
        <v>7</v>
      </c>
      <c r="H113" s="5" t="s">
        <v>126</v>
      </c>
      <c r="I113" s="7">
        <v>0.7142857142857143</v>
      </c>
      <c r="J113" s="7">
        <v>0.2857142857142857</v>
      </c>
      <c r="K113" s="7">
        <v>1</v>
      </c>
      <c r="N113" s="5" t="s">
        <v>126</v>
      </c>
      <c r="O113" s="7">
        <v>0.13157894736842105</v>
      </c>
      <c r="P113" s="7">
        <v>5.2631578947368418E-2</v>
      </c>
      <c r="Q113" s="7">
        <v>0.18421052631578946</v>
      </c>
    </row>
    <row r="114" spans="1:17" x14ac:dyDescent="0.35">
      <c r="A114" s="5" t="s">
        <v>127</v>
      </c>
      <c r="B114" s="6">
        <v>2</v>
      </c>
      <c r="C114" s="6">
        <v>7</v>
      </c>
      <c r="D114" s="6">
        <v>9</v>
      </c>
      <c r="H114" s="5" t="s">
        <v>127</v>
      </c>
      <c r="I114" s="7">
        <v>0.22222222222222221</v>
      </c>
      <c r="J114" s="7">
        <v>0.77777777777777779</v>
      </c>
      <c r="K114" s="7">
        <v>1</v>
      </c>
      <c r="N114" s="5" t="s">
        <v>127</v>
      </c>
      <c r="O114" s="7">
        <v>5.2631578947368418E-2</v>
      </c>
      <c r="P114" s="7">
        <v>0.18421052631578946</v>
      </c>
      <c r="Q114" s="7">
        <v>0.23684210526315788</v>
      </c>
    </row>
    <row r="115" spans="1:17" x14ac:dyDescent="0.35">
      <c r="A115" s="5" t="s">
        <v>103</v>
      </c>
      <c r="B115" s="6">
        <v>18</v>
      </c>
      <c r="C115" s="6">
        <v>20</v>
      </c>
      <c r="D115" s="6">
        <v>38</v>
      </c>
      <c r="H115" s="5" t="s">
        <v>103</v>
      </c>
      <c r="I115" s="7">
        <v>0.47368421052631576</v>
      </c>
      <c r="J115" s="7">
        <v>0.52631578947368418</v>
      </c>
      <c r="K115" s="7">
        <v>1</v>
      </c>
      <c r="N115" s="5" t="s">
        <v>103</v>
      </c>
      <c r="O115" s="7">
        <v>0.47368421052631576</v>
      </c>
      <c r="P115" s="7">
        <v>0.52631578947368418</v>
      </c>
      <c r="Q115" s="7">
        <v>1</v>
      </c>
    </row>
    <row r="122" spans="1:17" x14ac:dyDescent="0.35">
      <c r="B122" s="4" t="s">
        <v>104</v>
      </c>
    </row>
    <row r="123" spans="1:17" x14ac:dyDescent="0.35">
      <c r="B123" t="s">
        <v>110</v>
      </c>
      <c r="D123" t="s">
        <v>109</v>
      </c>
      <c r="F123" t="s">
        <v>155</v>
      </c>
      <c r="G123" t="s">
        <v>156</v>
      </c>
    </row>
    <row r="124" spans="1:17" x14ac:dyDescent="0.35">
      <c r="A124" s="4" t="s">
        <v>102</v>
      </c>
      <c r="B124" t="s">
        <v>108</v>
      </c>
      <c r="C124" t="s">
        <v>157</v>
      </c>
      <c r="D124" t="s">
        <v>108</v>
      </c>
      <c r="E124" t="s">
        <v>157</v>
      </c>
      <c r="H124" t="s">
        <v>158</v>
      </c>
    </row>
    <row r="125" spans="1:17" x14ac:dyDescent="0.35">
      <c r="A125" s="5" t="s">
        <v>117</v>
      </c>
      <c r="B125" s="6">
        <v>2</v>
      </c>
      <c r="C125" s="6">
        <v>2</v>
      </c>
      <c r="D125" s="6"/>
      <c r="E125" s="6"/>
      <c r="F125" s="6">
        <v>2</v>
      </c>
      <c r="G125" s="6">
        <v>2</v>
      </c>
      <c r="H125">
        <f>C125+E125</f>
        <v>2</v>
      </c>
      <c r="I125" t="str">
        <f>IF(H125&gt;=3,"✅ Use","❌ Too few")</f>
        <v>❌ Too few</v>
      </c>
      <c r="J125" s="13" t="s">
        <v>159</v>
      </c>
      <c r="K125" s="14"/>
      <c r="L125" s="14"/>
      <c r="M125" s="14"/>
      <c r="N125" s="14"/>
      <c r="O125" s="14"/>
      <c r="P125" s="14"/>
    </row>
    <row r="126" spans="1:17" x14ac:dyDescent="0.35">
      <c r="A126" s="5" t="s">
        <v>118</v>
      </c>
      <c r="B126" s="6">
        <v>1</v>
      </c>
      <c r="C126" s="6">
        <v>1</v>
      </c>
      <c r="D126" s="6">
        <v>4</v>
      </c>
      <c r="E126" s="6">
        <v>4</v>
      </c>
      <c r="F126" s="6">
        <v>5</v>
      </c>
      <c r="G126" s="6">
        <v>5</v>
      </c>
      <c r="H126">
        <f t="shared" ref="H126:H135" si="0">C126+E126</f>
        <v>5</v>
      </c>
      <c r="I126" t="str">
        <f t="shared" ref="I126:I135" si="1">IF(H126&gt;=3,"✅ Use","❌ Too few")</f>
        <v>✅ Use</v>
      </c>
      <c r="J126" s="14"/>
      <c r="K126" s="14"/>
      <c r="L126" s="14"/>
      <c r="M126" s="14"/>
      <c r="N126" s="14"/>
      <c r="O126" s="14"/>
      <c r="P126" s="14"/>
    </row>
    <row r="127" spans="1:17" x14ac:dyDescent="0.35">
      <c r="A127" s="5" t="s">
        <v>119</v>
      </c>
      <c r="B127" s="6">
        <v>2</v>
      </c>
      <c r="C127" s="6">
        <v>2</v>
      </c>
      <c r="D127" s="6">
        <v>2</v>
      </c>
      <c r="E127" s="6">
        <v>2</v>
      </c>
      <c r="F127" s="6">
        <v>4</v>
      </c>
      <c r="G127" s="6">
        <v>4</v>
      </c>
      <c r="H127">
        <f t="shared" si="0"/>
        <v>4</v>
      </c>
      <c r="I127" t="str">
        <f t="shared" si="1"/>
        <v>✅ Use</v>
      </c>
      <c r="J127" s="15" t="s">
        <v>160</v>
      </c>
      <c r="K127" s="15" t="s">
        <v>161</v>
      </c>
      <c r="L127" s="15" t="s">
        <v>162</v>
      </c>
      <c r="M127" s="15" t="s">
        <v>163</v>
      </c>
      <c r="N127" s="15" t="s">
        <v>164</v>
      </c>
      <c r="O127" s="15" t="s">
        <v>165</v>
      </c>
      <c r="P127" s="15" t="s">
        <v>166</v>
      </c>
    </row>
    <row r="128" spans="1:17" x14ac:dyDescent="0.35">
      <c r="A128" s="5" t="s">
        <v>120</v>
      </c>
      <c r="B128" s="6">
        <v>2</v>
      </c>
      <c r="C128" s="6">
        <v>2</v>
      </c>
      <c r="D128" s="6"/>
      <c r="E128" s="6"/>
      <c r="F128" s="6">
        <v>2</v>
      </c>
      <c r="G128" s="6">
        <v>2</v>
      </c>
      <c r="H128">
        <f t="shared" si="0"/>
        <v>2</v>
      </c>
      <c r="I128" t="str">
        <f t="shared" si="1"/>
        <v>❌ Too few</v>
      </c>
      <c r="J128" s="16">
        <v>0.79166666666666663</v>
      </c>
      <c r="K128" s="17">
        <v>1</v>
      </c>
      <c r="L128" s="17">
        <v>2</v>
      </c>
      <c r="M128" s="17">
        <v>3</v>
      </c>
      <c r="N128" s="18">
        <v>0.66669999999999996</v>
      </c>
      <c r="O128" s="18">
        <v>0.33329999999999999</v>
      </c>
      <c r="P128" s="17" t="s">
        <v>167</v>
      </c>
    </row>
    <row r="129" spans="1:16" x14ac:dyDescent="0.35">
      <c r="A129" s="5" t="s">
        <v>121</v>
      </c>
      <c r="B129" s="6"/>
      <c r="C129" s="6"/>
      <c r="D129" s="6">
        <v>1</v>
      </c>
      <c r="E129" s="6">
        <v>1</v>
      </c>
      <c r="F129" s="6">
        <v>1</v>
      </c>
      <c r="G129" s="6">
        <v>1</v>
      </c>
      <c r="H129">
        <f t="shared" si="0"/>
        <v>1</v>
      </c>
      <c r="I129" t="str">
        <f t="shared" si="1"/>
        <v>❌ Too few</v>
      </c>
      <c r="J129" s="16">
        <v>0.83333333333333337</v>
      </c>
      <c r="K129" s="17">
        <v>5</v>
      </c>
      <c r="L129" s="17">
        <v>2</v>
      </c>
      <c r="M129" s="17">
        <v>7</v>
      </c>
      <c r="N129" s="18">
        <v>0.28570000000000001</v>
      </c>
      <c r="O129" s="18">
        <v>0.71430000000000005</v>
      </c>
      <c r="P129" s="17" t="s">
        <v>167</v>
      </c>
    </row>
    <row r="130" spans="1:16" x14ac:dyDescent="0.35">
      <c r="A130" s="5" t="s">
        <v>122</v>
      </c>
      <c r="B130" s="6"/>
      <c r="C130" s="6"/>
      <c r="D130" s="6">
        <v>2</v>
      </c>
      <c r="E130" s="6">
        <v>2</v>
      </c>
      <c r="F130" s="6">
        <v>2</v>
      </c>
      <c r="G130" s="6">
        <v>2</v>
      </c>
      <c r="H130">
        <f t="shared" si="0"/>
        <v>2</v>
      </c>
      <c r="I130" t="str">
        <f t="shared" si="1"/>
        <v>❌ Too few</v>
      </c>
      <c r="J130" s="16">
        <v>0.875</v>
      </c>
      <c r="K130" s="17">
        <v>2</v>
      </c>
      <c r="L130" s="17">
        <v>7</v>
      </c>
      <c r="M130" s="17">
        <v>9</v>
      </c>
      <c r="N130" s="18">
        <v>0.77780000000000005</v>
      </c>
      <c r="O130" s="18">
        <v>0.22220000000000001</v>
      </c>
      <c r="P130" s="17" t="s">
        <v>167</v>
      </c>
    </row>
    <row r="131" spans="1:16" x14ac:dyDescent="0.35">
      <c r="A131" s="5" t="s">
        <v>123</v>
      </c>
      <c r="B131" s="6">
        <v>2</v>
      </c>
      <c r="C131" s="6">
        <v>2</v>
      </c>
      <c r="D131" s="6"/>
      <c r="E131" s="6"/>
      <c r="F131" s="6">
        <v>2</v>
      </c>
      <c r="G131" s="6">
        <v>2</v>
      </c>
      <c r="H131">
        <f t="shared" si="0"/>
        <v>2</v>
      </c>
      <c r="I131" t="str">
        <f t="shared" si="1"/>
        <v>❌ Too few</v>
      </c>
      <c r="J131" s="16">
        <v>0.91666666666666663</v>
      </c>
      <c r="K131" s="17">
        <v>1</v>
      </c>
      <c r="L131" s="17">
        <v>4</v>
      </c>
      <c r="M131" s="17">
        <v>5</v>
      </c>
      <c r="N131" s="18">
        <v>0.8</v>
      </c>
      <c r="O131" s="18">
        <v>0.2</v>
      </c>
      <c r="P131" s="17" t="s">
        <v>167</v>
      </c>
    </row>
    <row r="132" spans="1:16" x14ac:dyDescent="0.35">
      <c r="A132" s="5" t="s">
        <v>124</v>
      </c>
      <c r="B132" s="6">
        <v>1</v>
      </c>
      <c r="C132" s="6">
        <v>1</v>
      </c>
      <c r="D132" s="6"/>
      <c r="E132" s="6"/>
      <c r="F132" s="6">
        <v>1</v>
      </c>
      <c r="G132" s="6">
        <v>1</v>
      </c>
      <c r="H132">
        <f t="shared" si="0"/>
        <v>1</v>
      </c>
      <c r="I132" t="str">
        <f t="shared" si="1"/>
        <v>❌ Too few</v>
      </c>
      <c r="J132" s="16">
        <v>0.95833333333333337</v>
      </c>
      <c r="K132" s="17">
        <v>2</v>
      </c>
      <c r="L132" s="17">
        <v>2</v>
      </c>
      <c r="M132" s="17">
        <v>4</v>
      </c>
      <c r="N132" s="18">
        <v>0.5</v>
      </c>
      <c r="O132" s="18">
        <v>0.5</v>
      </c>
      <c r="P132" s="17" t="s">
        <v>167</v>
      </c>
    </row>
    <row r="133" spans="1:16" x14ac:dyDescent="0.35">
      <c r="A133" s="5" t="s">
        <v>125</v>
      </c>
      <c r="B133" s="6">
        <v>1</v>
      </c>
      <c r="C133" s="6">
        <v>1</v>
      </c>
      <c r="D133" s="6">
        <v>2</v>
      </c>
      <c r="E133" s="6">
        <v>2</v>
      </c>
      <c r="F133" s="6">
        <v>3</v>
      </c>
      <c r="G133" s="6">
        <v>3</v>
      </c>
      <c r="H133">
        <f t="shared" si="0"/>
        <v>3</v>
      </c>
      <c r="I133" t="str">
        <f t="shared" si="1"/>
        <v>✅ Use</v>
      </c>
      <c r="J133" s="19" t="s">
        <v>168</v>
      </c>
      <c r="K133" s="19">
        <v>11</v>
      </c>
      <c r="L133" s="19">
        <v>17</v>
      </c>
      <c r="M133" s="19">
        <v>28</v>
      </c>
      <c r="N133" s="20">
        <v>0.60709999999999997</v>
      </c>
      <c r="O133" s="20">
        <v>0.39290000000000003</v>
      </c>
      <c r="P133" s="17"/>
    </row>
    <row r="134" spans="1:16" x14ac:dyDescent="0.35">
      <c r="A134" s="5" t="s">
        <v>126</v>
      </c>
      <c r="B134" s="6">
        <v>5</v>
      </c>
      <c r="C134" s="6">
        <v>5</v>
      </c>
      <c r="D134" s="6">
        <v>2</v>
      </c>
      <c r="E134" s="6">
        <v>2</v>
      </c>
      <c r="F134" s="6">
        <v>7</v>
      </c>
      <c r="G134" s="6">
        <v>7</v>
      </c>
      <c r="H134">
        <f t="shared" si="0"/>
        <v>7</v>
      </c>
      <c r="I134" t="str">
        <f t="shared" si="1"/>
        <v>✅ Use</v>
      </c>
    </row>
    <row r="135" spans="1:16" x14ac:dyDescent="0.35">
      <c r="A135" s="5" t="s">
        <v>127</v>
      </c>
      <c r="B135" s="6">
        <v>2</v>
      </c>
      <c r="C135" s="6">
        <v>2</v>
      </c>
      <c r="D135" s="6">
        <v>7</v>
      </c>
      <c r="E135" s="6">
        <v>7</v>
      </c>
      <c r="F135" s="6">
        <v>9</v>
      </c>
      <c r="G135" s="6">
        <v>9</v>
      </c>
      <c r="H135">
        <f t="shared" si="0"/>
        <v>9</v>
      </c>
      <c r="I135" t="str">
        <f t="shared" si="1"/>
        <v>✅ Use</v>
      </c>
      <c r="K135" s="12"/>
    </row>
    <row r="136" spans="1:16" x14ac:dyDescent="0.35">
      <c r="A136" s="5" t="s">
        <v>103</v>
      </c>
      <c r="B136" s="6">
        <v>18</v>
      </c>
      <c r="C136" s="6">
        <v>18</v>
      </c>
      <c r="D136" s="6">
        <v>20</v>
      </c>
      <c r="E136" s="6">
        <v>20</v>
      </c>
      <c r="F136" s="6">
        <v>38</v>
      </c>
      <c r="G136" s="6">
        <v>38</v>
      </c>
      <c r="K136" s="12"/>
    </row>
    <row r="137" spans="1:16" x14ac:dyDescent="0.35">
      <c r="K137" s="12"/>
    </row>
    <row r="138" spans="1:16" x14ac:dyDescent="0.35">
      <c r="K13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8859-A3D7-439F-9E86-49F9906126C6}">
  <dimension ref="A1:AK39"/>
  <sheetViews>
    <sheetView workbookViewId="0">
      <selection sqref="A1:AK39"/>
    </sheetView>
  </sheetViews>
  <sheetFormatPr defaultRowHeight="14.5" x14ac:dyDescent="0.35"/>
  <cols>
    <col min="1" max="1" width="15.08984375" bestFit="1" customWidth="1"/>
    <col min="2" max="2" width="11.453125" bestFit="1" customWidth="1"/>
    <col min="3" max="3" width="11.1796875" bestFit="1" customWidth="1"/>
    <col min="5" max="5" width="16.90625" style="1" bestFit="1" customWidth="1"/>
    <col min="6" max="6" width="11.1796875" bestFit="1" customWidth="1"/>
    <col min="7" max="7" width="14.54296875" bestFit="1" customWidth="1"/>
    <col min="8" max="8" width="11.81640625" bestFit="1" customWidth="1"/>
    <col min="9" max="9" width="13.36328125" bestFit="1" customWidth="1"/>
    <col min="13" max="13" width="11.81640625" bestFit="1" customWidth="1"/>
    <col min="14" max="14" width="15.36328125" customWidth="1"/>
    <col min="15" max="15" width="15.54296875" bestFit="1" customWidth="1"/>
    <col min="16" max="16" width="16.453125" bestFit="1" customWidth="1"/>
    <col min="17" max="17" width="12.26953125" bestFit="1" customWidth="1"/>
    <col min="18" max="18" width="12.54296875" bestFit="1" customWidth="1"/>
    <col min="19" max="19" width="18.08984375" bestFit="1" customWidth="1"/>
    <col min="20" max="20" width="16.7265625" bestFit="1" customWidth="1"/>
    <col min="21" max="21" width="12.08984375" bestFit="1" customWidth="1"/>
    <col min="22" max="22" width="16.453125" bestFit="1" customWidth="1"/>
    <col min="23" max="23" width="19.36328125" bestFit="1" customWidth="1"/>
    <col min="24" max="24" width="14.81640625" bestFit="1" customWidth="1"/>
    <col min="25" max="25" width="9" bestFit="1" customWidth="1"/>
    <col min="26" max="26" width="10.90625" bestFit="1" customWidth="1"/>
    <col min="27" max="27" width="11.453125" bestFit="1" customWidth="1"/>
    <col min="28" max="28" width="15.26953125" bestFit="1" customWidth="1"/>
    <col min="29" max="29" width="10.453125" bestFit="1" customWidth="1"/>
    <col min="30" max="30" width="12.08984375" bestFit="1" customWidth="1"/>
    <col min="31" max="31" width="14.54296875" bestFit="1" customWidth="1"/>
    <col min="33" max="33" width="10.453125" bestFit="1" customWidth="1"/>
    <col min="34" max="34" width="11.453125" bestFit="1" customWidth="1"/>
    <col min="35" max="35" width="13.7265625" bestFit="1" customWidth="1"/>
  </cols>
  <sheetData>
    <row r="1" spans="1:37" ht="23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101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 x14ac:dyDescent="0.35">
      <c r="A2" t="s">
        <v>59</v>
      </c>
      <c r="B2" t="s">
        <v>37</v>
      </c>
      <c r="C2" t="s">
        <v>38</v>
      </c>
      <c r="D2" t="b">
        <v>1</v>
      </c>
      <c r="E2" s="1">
        <v>45954</v>
      </c>
      <c r="F2">
        <v>3</v>
      </c>
      <c r="G2" t="str">
        <f>IF(MOD(F2-8,24)=0,"12:00 AM",IF(MOD(F2-8,24)&lt;12,MOD(F2-8,24)&amp;":00 AM",IF(MOD(F2-8,24)=12,"12:00 PM",(MOD(F2-8,24)-12)&amp;":00 PM")))</f>
        <v>7:00 PM</v>
      </c>
      <c r="H2" t="s">
        <v>60</v>
      </c>
      <c r="I2">
        <v>30.6</v>
      </c>
      <c r="J2">
        <v>5</v>
      </c>
      <c r="K2">
        <v>3</v>
      </c>
      <c r="L2">
        <v>10</v>
      </c>
      <c r="M2">
        <v>5</v>
      </c>
      <c r="N2">
        <v>50</v>
      </c>
      <c r="O2">
        <v>581.9</v>
      </c>
      <c r="P2">
        <v>15.5</v>
      </c>
      <c r="Q2">
        <v>617.4</v>
      </c>
      <c r="R2">
        <v>17829</v>
      </c>
      <c r="S2">
        <v>26413</v>
      </c>
      <c r="T2">
        <v>13658</v>
      </c>
      <c r="U2">
        <v>32</v>
      </c>
      <c r="V2">
        <v>25</v>
      </c>
      <c r="W2">
        <v>1</v>
      </c>
      <c r="X2">
        <v>25</v>
      </c>
      <c r="Y2">
        <v>1</v>
      </c>
      <c r="Z2">
        <v>198</v>
      </c>
      <c r="AA2">
        <v>18</v>
      </c>
      <c r="AB2">
        <v>78</v>
      </c>
      <c r="AC2">
        <v>588</v>
      </c>
      <c r="AD2">
        <v>5</v>
      </c>
      <c r="AE2">
        <v>3</v>
      </c>
      <c r="AF2">
        <v>89</v>
      </c>
      <c r="AG2">
        <v>2.91</v>
      </c>
      <c r="AH2">
        <v>63</v>
      </c>
      <c r="AI2">
        <v>2.08</v>
      </c>
      <c r="AJ2" t="s">
        <v>40</v>
      </c>
      <c r="AK2" t="s">
        <v>44</v>
      </c>
    </row>
    <row r="3" spans="1:37" x14ac:dyDescent="0.35">
      <c r="A3" t="s">
        <v>96</v>
      </c>
      <c r="B3" t="s">
        <v>37</v>
      </c>
      <c r="C3" t="s">
        <v>38</v>
      </c>
      <c r="D3" t="b">
        <v>0</v>
      </c>
      <c r="E3" s="1">
        <v>45955</v>
      </c>
      <c r="F3">
        <v>4</v>
      </c>
      <c r="G3" t="str">
        <f t="shared" ref="G3:G39" si="0">IF(MOD(F3-8,24)=0,"12:00 AM",IF(MOD(F3-8,24)&lt;12,MOD(F3-8,24)&amp;":00 AM",IF(MOD(F3-8,24)=12,"12:00 PM",(MOD(F3-8,24)-12)&amp;":00 PM")))</f>
        <v>8:00 PM</v>
      </c>
      <c r="H3" t="s">
        <v>77</v>
      </c>
      <c r="I3">
        <v>16.7</v>
      </c>
      <c r="J3">
        <v>0</v>
      </c>
      <c r="K3">
        <v>4</v>
      </c>
      <c r="L3">
        <v>1</v>
      </c>
      <c r="M3">
        <v>0.25</v>
      </c>
      <c r="N3">
        <v>14.3</v>
      </c>
      <c r="O3">
        <v>276.60000000000002</v>
      </c>
      <c r="P3">
        <v>15.2</v>
      </c>
      <c r="Q3">
        <v>415</v>
      </c>
      <c r="R3">
        <v>4632</v>
      </c>
      <c r="S3">
        <v>10010</v>
      </c>
      <c r="T3">
        <v>5005</v>
      </c>
      <c r="U3">
        <v>23</v>
      </c>
      <c r="V3">
        <v>42</v>
      </c>
      <c r="W3">
        <v>2</v>
      </c>
      <c r="X3">
        <v>18</v>
      </c>
      <c r="Y3">
        <v>0</v>
      </c>
      <c r="Z3">
        <v>84</v>
      </c>
      <c r="AA3">
        <v>11</v>
      </c>
      <c r="AB3">
        <v>93</v>
      </c>
      <c r="AC3">
        <v>412</v>
      </c>
      <c r="AD3">
        <v>0</v>
      </c>
      <c r="AE3">
        <v>0</v>
      </c>
      <c r="AF3">
        <v>42</v>
      </c>
      <c r="AG3">
        <v>2.5099999999999998</v>
      </c>
      <c r="AH3">
        <v>26</v>
      </c>
      <c r="AI3">
        <v>1.58</v>
      </c>
      <c r="AJ3" t="s">
        <v>52</v>
      </c>
      <c r="AK3" t="s">
        <v>44</v>
      </c>
    </row>
    <row r="4" spans="1:37" x14ac:dyDescent="0.35">
      <c r="A4" t="s">
        <v>100</v>
      </c>
      <c r="B4" t="s">
        <v>37</v>
      </c>
      <c r="C4" t="s">
        <v>38</v>
      </c>
      <c r="D4" t="b">
        <v>1</v>
      </c>
      <c r="E4" s="1">
        <v>45958</v>
      </c>
      <c r="F4">
        <v>5</v>
      </c>
      <c r="G4" t="str">
        <f t="shared" si="0"/>
        <v>9:00 PM</v>
      </c>
      <c r="H4" t="s">
        <v>90</v>
      </c>
      <c r="I4">
        <v>34.1</v>
      </c>
      <c r="J4">
        <v>6</v>
      </c>
      <c r="K4">
        <v>3</v>
      </c>
      <c r="L4">
        <v>16</v>
      </c>
      <c r="M4">
        <v>7.3333333333333304</v>
      </c>
      <c r="N4">
        <v>45.8</v>
      </c>
      <c r="O4">
        <v>650.20000000000005</v>
      </c>
      <c r="P4">
        <v>14</v>
      </c>
      <c r="Q4">
        <v>710.9</v>
      </c>
      <c r="R4">
        <v>22212</v>
      </c>
      <c r="S4">
        <v>36469</v>
      </c>
      <c r="T4">
        <v>30120</v>
      </c>
      <c r="U4">
        <v>46</v>
      </c>
      <c r="V4">
        <v>29</v>
      </c>
      <c r="W4">
        <v>0</v>
      </c>
      <c r="X4">
        <v>41</v>
      </c>
      <c r="Y4">
        <v>0</v>
      </c>
      <c r="Z4">
        <v>303</v>
      </c>
      <c r="AA4">
        <v>18</v>
      </c>
      <c r="AB4">
        <v>138</v>
      </c>
      <c r="AC4">
        <v>733</v>
      </c>
      <c r="AD4">
        <v>3</v>
      </c>
      <c r="AE4">
        <v>2</v>
      </c>
      <c r="AF4">
        <v>117</v>
      </c>
      <c r="AG4">
        <v>3.43</v>
      </c>
      <c r="AH4">
        <v>65</v>
      </c>
      <c r="AI4">
        <v>1.91</v>
      </c>
      <c r="AJ4" t="s">
        <v>40</v>
      </c>
      <c r="AK4" t="s">
        <v>44</v>
      </c>
    </row>
    <row r="5" spans="1:37" x14ac:dyDescent="0.35">
      <c r="A5" t="s">
        <v>71</v>
      </c>
      <c r="B5" t="s">
        <v>72</v>
      </c>
      <c r="C5" t="s">
        <v>64</v>
      </c>
      <c r="D5" t="b">
        <v>1</v>
      </c>
      <c r="E5" s="1">
        <v>45960</v>
      </c>
      <c r="F5">
        <v>6</v>
      </c>
      <c r="G5" t="str">
        <f t="shared" si="0"/>
        <v>10:00 PM</v>
      </c>
      <c r="H5" t="s">
        <v>46</v>
      </c>
      <c r="I5">
        <v>12</v>
      </c>
      <c r="J5">
        <v>8</v>
      </c>
      <c r="K5">
        <v>5</v>
      </c>
      <c r="L5">
        <v>22</v>
      </c>
      <c r="M5">
        <v>6</v>
      </c>
      <c r="N5">
        <v>58.8</v>
      </c>
      <c r="O5">
        <v>1047.0999999999999</v>
      </c>
      <c r="P5">
        <v>13.6</v>
      </c>
      <c r="Q5">
        <v>765.8</v>
      </c>
      <c r="R5">
        <v>12574</v>
      </c>
      <c r="S5">
        <v>14327</v>
      </c>
      <c r="T5">
        <v>12819</v>
      </c>
      <c r="U5">
        <v>32</v>
      </c>
      <c r="V5">
        <v>19</v>
      </c>
      <c r="W5">
        <v>0</v>
      </c>
      <c r="X5">
        <v>27</v>
      </c>
      <c r="Y5">
        <v>0</v>
      </c>
      <c r="Z5">
        <v>104</v>
      </c>
      <c r="AA5">
        <v>14</v>
      </c>
      <c r="AB5">
        <v>114</v>
      </c>
      <c r="AC5">
        <v>193</v>
      </c>
      <c r="AD5">
        <v>3</v>
      </c>
      <c r="AE5">
        <v>3</v>
      </c>
    </row>
    <row r="6" spans="1:37" x14ac:dyDescent="0.35">
      <c r="A6" t="s">
        <v>74</v>
      </c>
      <c r="B6" t="s">
        <v>43</v>
      </c>
      <c r="C6" t="s">
        <v>38</v>
      </c>
      <c r="D6" t="b">
        <v>1</v>
      </c>
      <c r="E6" s="1">
        <v>45970</v>
      </c>
      <c r="F6">
        <v>0</v>
      </c>
      <c r="G6" t="str">
        <f t="shared" si="0"/>
        <v>4:00 PM</v>
      </c>
      <c r="H6" t="s">
        <v>39</v>
      </c>
      <c r="I6">
        <v>25.7</v>
      </c>
      <c r="J6">
        <v>2</v>
      </c>
      <c r="K6">
        <v>4</v>
      </c>
      <c r="L6">
        <v>10</v>
      </c>
      <c r="M6">
        <v>3</v>
      </c>
      <c r="N6">
        <v>38.700000000000003</v>
      </c>
      <c r="O6">
        <v>344.7</v>
      </c>
      <c r="P6">
        <v>9.4</v>
      </c>
      <c r="Q6">
        <v>692.1</v>
      </c>
      <c r="R6">
        <v>8855</v>
      </c>
      <c r="S6">
        <v>14115</v>
      </c>
      <c r="T6">
        <v>6421</v>
      </c>
      <c r="U6">
        <v>23</v>
      </c>
      <c r="V6">
        <v>7</v>
      </c>
      <c r="W6">
        <v>0</v>
      </c>
      <c r="X6">
        <v>19</v>
      </c>
      <c r="Y6">
        <v>0</v>
      </c>
      <c r="Z6">
        <v>132</v>
      </c>
      <c r="AA6">
        <v>18</v>
      </c>
      <c r="AB6">
        <v>126</v>
      </c>
      <c r="AC6">
        <v>379</v>
      </c>
      <c r="AD6">
        <v>0</v>
      </c>
      <c r="AE6">
        <v>1</v>
      </c>
      <c r="AF6">
        <v>45</v>
      </c>
      <c r="AG6">
        <v>1.75</v>
      </c>
      <c r="AH6">
        <v>45</v>
      </c>
      <c r="AI6">
        <v>1.76</v>
      </c>
      <c r="AJ6" t="s">
        <v>40</v>
      </c>
      <c r="AK6" t="s">
        <v>44</v>
      </c>
    </row>
    <row r="7" spans="1:37" x14ac:dyDescent="0.35">
      <c r="A7" t="s">
        <v>79</v>
      </c>
      <c r="B7" t="s">
        <v>37</v>
      </c>
      <c r="C7" t="s">
        <v>38</v>
      </c>
      <c r="D7" t="b">
        <v>0</v>
      </c>
      <c r="E7" s="1">
        <v>45970</v>
      </c>
      <c r="F7">
        <v>1</v>
      </c>
      <c r="G7" t="str">
        <f t="shared" si="0"/>
        <v>5:00 PM</v>
      </c>
      <c r="H7" t="s">
        <v>39</v>
      </c>
      <c r="I7">
        <v>16</v>
      </c>
      <c r="J7">
        <v>0</v>
      </c>
      <c r="K7">
        <v>5</v>
      </c>
      <c r="L7">
        <v>0</v>
      </c>
      <c r="M7">
        <v>0</v>
      </c>
      <c r="N7">
        <v>0</v>
      </c>
      <c r="O7">
        <v>215.9</v>
      </c>
      <c r="P7">
        <v>12.3</v>
      </c>
      <c r="Q7">
        <v>322.2</v>
      </c>
      <c r="R7">
        <v>3458</v>
      </c>
      <c r="S7">
        <v>11028</v>
      </c>
      <c r="T7">
        <v>3701</v>
      </c>
      <c r="U7">
        <v>16</v>
      </c>
      <c r="V7">
        <v>60</v>
      </c>
      <c r="W7">
        <v>7</v>
      </c>
      <c r="X7">
        <v>18</v>
      </c>
      <c r="Y7">
        <v>0</v>
      </c>
      <c r="Z7">
        <v>59</v>
      </c>
      <c r="AA7">
        <v>9</v>
      </c>
      <c r="AB7">
        <v>105</v>
      </c>
      <c r="AC7">
        <v>419</v>
      </c>
      <c r="AD7">
        <v>0</v>
      </c>
      <c r="AE7">
        <v>0</v>
      </c>
      <c r="AF7">
        <v>25</v>
      </c>
      <c r="AG7">
        <v>1.56</v>
      </c>
      <c r="AH7">
        <v>27</v>
      </c>
      <c r="AI7">
        <v>1.71</v>
      </c>
      <c r="AJ7" t="s">
        <v>52</v>
      </c>
      <c r="AK7" t="s">
        <v>44</v>
      </c>
    </row>
    <row r="8" spans="1:37" x14ac:dyDescent="0.35">
      <c r="A8" t="s">
        <v>45</v>
      </c>
      <c r="B8" t="s">
        <v>37</v>
      </c>
      <c r="C8" t="s">
        <v>38</v>
      </c>
      <c r="D8" t="b">
        <v>1</v>
      </c>
      <c r="E8" s="1">
        <v>45974</v>
      </c>
      <c r="F8">
        <v>0</v>
      </c>
      <c r="G8" t="str">
        <f t="shared" si="0"/>
        <v>4:00 PM</v>
      </c>
      <c r="H8" t="s">
        <v>46</v>
      </c>
      <c r="I8">
        <v>25.6</v>
      </c>
      <c r="J8">
        <v>5</v>
      </c>
      <c r="K8">
        <v>1</v>
      </c>
      <c r="L8">
        <v>11</v>
      </c>
      <c r="M8">
        <v>16</v>
      </c>
      <c r="N8">
        <v>55.2</v>
      </c>
      <c r="O8">
        <v>824.2</v>
      </c>
      <c r="P8">
        <v>21</v>
      </c>
      <c r="Q8">
        <v>542.70000000000005</v>
      </c>
      <c r="R8">
        <v>21067</v>
      </c>
      <c r="S8">
        <v>15342</v>
      </c>
      <c r="T8">
        <v>10405</v>
      </c>
      <c r="U8">
        <v>42</v>
      </c>
      <c r="V8">
        <v>14</v>
      </c>
      <c r="W8">
        <v>0</v>
      </c>
      <c r="X8">
        <v>36</v>
      </c>
      <c r="Y8">
        <v>0</v>
      </c>
      <c r="Z8">
        <v>225</v>
      </c>
      <c r="AA8">
        <v>17</v>
      </c>
      <c r="AB8">
        <v>16</v>
      </c>
      <c r="AC8">
        <v>539</v>
      </c>
      <c r="AD8">
        <v>5</v>
      </c>
      <c r="AE8">
        <v>2</v>
      </c>
      <c r="AF8">
        <v>64</v>
      </c>
      <c r="AG8">
        <v>2.5</v>
      </c>
      <c r="AH8">
        <v>62</v>
      </c>
      <c r="AI8">
        <v>2.46</v>
      </c>
      <c r="AJ8" t="s">
        <v>40</v>
      </c>
      <c r="AK8" t="s">
        <v>47</v>
      </c>
    </row>
    <row r="9" spans="1:37" x14ac:dyDescent="0.35">
      <c r="A9" t="s">
        <v>84</v>
      </c>
      <c r="B9" t="s">
        <v>37</v>
      </c>
      <c r="C9" t="s">
        <v>64</v>
      </c>
      <c r="D9" t="b">
        <v>0</v>
      </c>
      <c r="E9" s="1">
        <v>45974</v>
      </c>
      <c r="F9">
        <v>1</v>
      </c>
      <c r="G9" t="str">
        <f t="shared" si="0"/>
        <v>5:00 PM</v>
      </c>
      <c r="H9" t="s">
        <v>46</v>
      </c>
      <c r="I9">
        <v>17.899999999999999</v>
      </c>
      <c r="J9">
        <v>7</v>
      </c>
      <c r="K9">
        <v>11</v>
      </c>
      <c r="L9">
        <v>30</v>
      </c>
      <c r="M9">
        <v>3.3636363636363602</v>
      </c>
      <c r="N9">
        <v>74</v>
      </c>
      <c r="O9">
        <v>1445.4</v>
      </c>
      <c r="P9">
        <v>18.5</v>
      </c>
      <c r="Q9">
        <v>658.3</v>
      </c>
      <c r="R9">
        <v>25893</v>
      </c>
      <c r="S9">
        <v>43836</v>
      </c>
      <c r="T9">
        <v>27230</v>
      </c>
      <c r="U9">
        <v>60</v>
      </c>
      <c r="V9">
        <v>199</v>
      </c>
      <c r="W9">
        <v>32</v>
      </c>
      <c r="X9">
        <v>37</v>
      </c>
      <c r="Y9">
        <v>0</v>
      </c>
      <c r="Z9">
        <v>190</v>
      </c>
      <c r="AA9">
        <v>18</v>
      </c>
      <c r="AB9">
        <v>281</v>
      </c>
      <c r="AC9">
        <v>111</v>
      </c>
      <c r="AD9">
        <v>3</v>
      </c>
      <c r="AE9">
        <v>3</v>
      </c>
    </row>
    <row r="10" spans="1:37" x14ac:dyDescent="0.35">
      <c r="A10" t="s">
        <v>99</v>
      </c>
      <c r="B10" t="s">
        <v>43</v>
      </c>
      <c r="C10" t="s">
        <v>38</v>
      </c>
      <c r="D10" t="b">
        <v>1</v>
      </c>
      <c r="E10" s="1">
        <v>45974</v>
      </c>
      <c r="F10">
        <v>6</v>
      </c>
      <c r="G10" t="str">
        <f t="shared" si="0"/>
        <v>10:00 PM</v>
      </c>
      <c r="H10" t="s">
        <v>46</v>
      </c>
      <c r="I10">
        <v>27.1</v>
      </c>
      <c r="J10">
        <v>3</v>
      </c>
      <c r="K10">
        <v>2</v>
      </c>
      <c r="L10">
        <v>12</v>
      </c>
      <c r="M10">
        <v>7.5</v>
      </c>
      <c r="N10">
        <v>50</v>
      </c>
      <c r="O10">
        <v>517.5</v>
      </c>
      <c r="P10">
        <v>12.4</v>
      </c>
      <c r="Q10">
        <v>559</v>
      </c>
      <c r="R10">
        <v>14018</v>
      </c>
      <c r="S10">
        <v>17034</v>
      </c>
      <c r="T10">
        <v>10001</v>
      </c>
      <c r="U10">
        <v>21</v>
      </c>
      <c r="V10">
        <v>5</v>
      </c>
      <c r="W10">
        <v>0</v>
      </c>
      <c r="X10">
        <v>21</v>
      </c>
      <c r="Y10">
        <v>0</v>
      </c>
      <c r="Z10">
        <v>138</v>
      </c>
      <c r="AA10">
        <v>18</v>
      </c>
      <c r="AB10">
        <v>98</v>
      </c>
      <c r="AC10">
        <v>1327</v>
      </c>
      <c r="AD10">
        <v>2</v>
      </c>
      <c r="AE10">
        <v>1</v>
      </c>
      <c r="AF10">
        <v>61</v>
      </c>
      <c r="AG10">
        <v>2.25</v>
      </c>
      <c r="AH10">
        <v>70</v>
      </c>
      <c r="AI10">
        <v>2.61</v>
      </c>
      <c r="AJ10" t="s">
        <v>40</v>
      </c>
      <c r="AK10" t="s">
        <v>44</v>
      </c>
    </row>
    <row r="11" spans="1:37" x14ac:dyDescent="0.35">
      <c r="A11" t="s">
        <v>62</v>
      </c>
      <c r="B11" t="s">
        <v>63</v>
      </c>
      <c r="C11" t="s">
        <v>64</v>
      </c>
      <c r="D11" t="b">
        <v>1</v>
      </c>
      <c r="E11" s="1">
        <v>45977</v>
      </c>
      <c r="F11">
        <v>6</v>
      </c>
      <c r="G11" t="str">
        <f t="shared" si="0"/>
        <v>10:00 PM</v>
      </c>
      <c r="H11" t="s">
        <v>39</v>
      </c>
      <c r="I11">
        <v>26.4</v>
      </c>
      <c r="J11">
        <v>8</v>
      </c>
      <c r="K11">
        <v>10</v>
      </c>
      <c r="L11">
        <v>43</v>
      </c>
      <c r="M11">
        <v>5.0999999999999996</v>
      </c>
      <c r="N11">
        <v>67.099999999999994</v>
      </c>
      <c r="O11">
        <v>1165.7</v>
      </c>
      <c r="P11">
        <v>14.2</v>
      </c>
      <c r="Q11">
        <v>645.29999999999995</v>
      </c>
      <c r="R11">
        <v>30828</v>
      </c>
      <c r="S11">
        <v>30776</v>
      </c>
      <c r="T11">
        <v>17207</v>
      </c>
      <c r="U11">
        <v>68</v>
      </c>
      <c r="V11">
        <v>65</v>
      </c>
      <c r="W11">
        <v>2</v>
      </c>
      <c r="X11">
        <v>29</v>
      </c>
      <c r="Y11">
        <v>0</v>
      </c>
      <c r="Z11">
        <v>314</v>
      </c>
      <c r="AA11">
        <v>18</v>
      </c>
      <c r="AB11">
        <v>332</v>
      </c>
      <c r="AC11">
        <v>297</v>
      </c>
      <c r="AD11">
        <v>2</v>
      </c>
      <c r="AE11">
        <v>1</v>
      </c>
    </row>
    <row r="12" spans="1:37" x14ac:dyDescent="0.35">
      <c r="A12" t="s">
        <v>81</v>
      </c>
      <c r="B12" t="s">
        <v>37</v>
      </c>
      <c r="C12" t="s">
        <v>64</v>
      </c>
      <c r="D12" t="b">
        <v>0</v>
      </c>
      <c r="E12" s="1">
        <v>45981</v>
      </c>
      <c r="F12">
        <v>6</v>
      </c>
      <c r="G12" t="str">
        <f t="shared" si="0"/>
        <v>10:00 PM</v>
      </c>
      <c r="H12" t="s">
        <v>46</v>
      </c>
      <c r="I12">
        <v>23.4</v>
      </c>
      <c r="J12">
        <v>12</v>
      </c>
      <c r="K12">
        <v>7</v>
      </c>
      <c r="L12">
        <v>28</v>
      </c>
      <c r="M12">
        <v>5.71428571428571</v>
      </c>
      <c r="N12">
        <v>80</v>
      </c>
      <c r="O12">
        <v>2951.2</v>
      </c>
      <c r="P12">
        <v>31.6</v>
      </c>
      <c r="Q12">
        <v>668.6</v>
      </c>
      <c r="R12">
        <v>69125</v>
      </c>
      <c r="S12">
        <v>95089</v>
      </c>
      <c r="T12">
        <v>78923</v>
      </c>
      <c r="U12">
        <v>195</v>
      </c>
      <c r="V12">
        <v>81</v>
      </c>
      <c r="W12">
        <v>0</v>
      </c>
      <c r="X12">
        <v>129</v>
      </c>
      <c r="Y12">
        <v>0</v>
      </c>
      <c r="Z12">
        <v>447</v>
      </c>
      <c r="AA12">
        <v>18</v>
      </c>
      <c r="AB12">
        <v>216</v>
      </c>
      <c r="AC12">
        <v>280</v>
      </c>
      <c r="AD12">
        <v>5</v>
      </c>
      <c r="AE12">
        <v>2</v>
      </c>
    </row>
    <row r="13" spans="1:37" x14ac:dyDescent="0.35">
      <c r="A13" t="s">
        <v>91</v>
      </c>
      <c r="B13" t="s">
        <v>92</v>
      </c>
      <c r="C13" t="s">
        <v>64</v>
      </c>
      <c r="D13" t="b">
        <v>0</v>
      </c>
      <c r="E13" s="1">
        <v>45981</v>
      </c>
      <c r="F13">
        <v>18</v>
      </c>
      <c r="G13" t="str">
        <f t="shared" si="0"/>
        <v>10:00 AM</v>
      </c>
      <c r="H13" t="s">
        <v>46</v>
      </c>
      <c r="I13">
        <v>8.4</v>
      </c>
      <c r="J13">
        <v>1</v>
      </c>
      <c r="K13">
        <v>4</v>
      </c>
      <c r="L13">
        <v>7</v>
      </c>
      <c r="M13">
        <v>2</v>
      </c>
      <c r="N13">
        <v>72.7</v>
      </c>
      <c r="O13">
        <v>560</v>
      </c>
      <c r="P13">
        <v>15.8</v>
      </c>
      <c r="Q13">
        <v>639.6</v>
      </c>
      <c r="R13">
        <v>4703</v>
      </c>
      <c r="S13">
        <v>14662</v>
      </c>
      <c r="T13">
        <v>7968</v>
      </c>
      <c r="U13">
        <v>18</v>
      </c>
      <c r="V13">
        <v>66</v>
      </c>
      <c r="W13">
        <v>4</v>
      </c>
      <c r="X13">
        <v>27</v>
      </c>
      <c r="Y13">
        <v>0</v>
      </c>
      <c r="Z13">
        <v>91</v>
      </c>
      <c r="AA13">
        <v>10</v>
      </c>
      <c r="AB13">
        <v>70</v>
      </c>
      <c r="AC13">
        <v>108</v>
      </c>
      <c r="AD13">
        <v>0</v>
      </c>
      <c r="AE13">
        <v>1</v>
      </c>
    </row>
    <row r="14" spans="1:37" x14ac:dyDescent="0.35">
      <c r="A14" t="s">
        <v>93</v>
      </c>
      <c r="B14" t="s">
        <v>94</v>
      </c>
      <c r="C14" t="s">
        <v>64</v>
      </c>
      <c r="D14" t="b">
        <v>0</v>
      </c>
      <c r="E14" s="1">
        <v>45981</v>
      </c>
      <c r="F14">
        <v>18</v>
      </c>
      <c r="G14" t="str">
        <f t="shared" si="0"/>
        <v>10:00 AM</v>
      </c>
      <c r="H14" t="s">
        <v>46</v>
      </c>
      <c r="I14">
        <v>15.4</v>
      </c>
      <c r="J14">
        <v>9</v>
      </c>
      <c r="K14">
        <v>10</v>
      </c>
      <c r="L14">
        <v>14</v>
      </c>
      <c r="M14">
        <v>2.2999999999999998</v>
      </c>
      <c r="N14">
        <v>65.7</v>
      </c>
      <c r="O14">
        <v>844.1</v>
      </c>
      <c r="P14">
        <v>17.2</v>
      </c>
      <c r="Q14">
        <v>764.8</v>
      </c>
      <c r="R14">
        <v>13024</v>
      </c>
      <c r="S14">
        <v>22368</v>
      </c>
      <c r="T14">
        <v>11651</v>
      </c>
      <c r="U14">
        <v>10</v>
      </c>
      <c r="V14">
        <v>93</v>
      </c>
      <c r="W14">
        <v>9</v>
      </c>
      <c r="X14">
        <v>2</v>
      </c>
      <c r="Y14">
        <v>0</v>
      </c>
      <c r="Z14">
        <v>96</v>
      </c>
      <c r="AA14">
        <v>15</v>
      </c>
      <c r="AB14">
        <v>189</v>
      </c>
      <c r="AC14">
        <v>108</v>
      </c>
      <c r="AD14">
        <v>4</v>
      </c>
      <c r="AE14">
        <v>4</v>
      </c>
    </row>
    <row r="15" spans="1:37" x14ac:dyDescent="0.35">
      <c r="A15" t="s">
        <v>97</v>
      </c>
      <c r="B15" t="s">
        <v>98</v>
      </c>
      <c r="C15" t="s">
        <v>64</v>
      </c>
      <c r="D15" t="b">
        <v>1</v>
      </c>
      <c r="E15" s="1">
        <v>45982</v>
      </c>
      <c r="F15">
        <v>6</v>
      </c>
      <c r="G15" t="str">
        <f t="shared" si="0"/>
        <v>10:00 PM</v>
      </c>
      <c r="H15" t="s">
        <v>60</v>
      </c>
      <c r="I15">
        <v>14.9</v>
      </c>
      <c r="J15">
        <v>3</v>
      </c>
      <c r="K15">
        <v>3</v>
      </c>
      <c r="L15">
        <v>40</v>
      </c>
      <c r="M15">
        <v>14.3333333333333</v>
      </c>
      <c r="N15">
        <v>100</v>
      </c>
      <c r="O15">
        <v>803.2</v>
      </c>
      <c r="P15">
        <v>11.9</v>
      </c>
      <c r="Q15">
        <v>671.3</v>
      </c>
      <c r="R15">
        <v>11957</v>
      </c>
      <c r="S15">
        <v>12324</v>
      </c>
      <c r="T15">
        <v>5814</v>
      </c>
      <c r="U15">
        <v>41</v>
      </c>
      <c r="V15">
        <v>50</v>
      </c>
      <c r="W15">
        <v>1</v>
      </c>
      <c r="X15">
        <v>37</v>
      </c>
      <c r="Y15">
        <v>0</v>
      </c>
      <c r="Z15">
        <v>180</v>
      </c>
      <c r="AA15">
        <v>15</v>
      </c>
      <c r="AB15">
        <v>49</v>
      </c>
      <c r="AC15">
        <v>522</v>
      </c>
      <c r="AD15">
        <v>2</v>
      </c>
      <c r="AE15">
        <v>1</v>
      </c>
    </row>
    <row r="16" spans="1:37" x14ac:dyDescent="0.35">
      <c r="A16" t="s">
        <v>75</v>
      </c>
      <c r="B16" t="s">
        <v>76</v>
      </c>
      <c r="C16" t="s">
        <v>64</v>
      </c>
      <c r="D16" t="b">
        <v>1</v>
      </c>
      <c r="E16" s="1">
        <v>45983</v>
      </c>
      <c r="F16">
        <v>20</v>
      </c>
      <c r="G16" t="str">
        <f t="shared" si="0"/>
        <v>12:00 PM</v>
      </c>
      <c r="H16" t="s">
        <v>77</v>
      </c>
      <c r="I16">
        <v>19.399999999999999</v>
      </c>
      <c r="J16">
        <v>4</v>
      </c>
      <c r="K16">
        <v>8</v>
      </c>
      <c r="L16">
        <v>43</v>
      </c>
      <c r="M16">
        <v>5.875</v>
      </c>
      <c r="N16">
        <v>82.5</v>
      </c>
      <c r="O16">
        <v>1378.3</v>
      </c>
      <c r="P16">
        <v>17.5</v>
      </c>
      <c r="Q16">
        <v>649.79999999999995</v>
      </c>
      <c r="R16">
        <v>26675</v>
      </c>
      <c r="S16">
        <v>21448</v>
      </c>
      <c r="T16">
        <v>14803</v>
      </c>
      <c r="U16">
        <v>29</v>
      </c>
      <c r="V16">
        <v>49</v>
      </c>
      <c r="W16">
        <v>2</v>
      </c>
      <c r="X16">
        <v>9</v>
      </c>
      <c r="Y16">
        <v>0</v>
      </c>
      <c r="Z16">
        <v>256</v>
      </c>
      <c r="AA16">
        <v>18</v>
      </c>
      <c r="AB16">
        <v>227</v>
      </c>
      <c r="AC16">
        <v>222</v>
      </c>
      <c r="AD16">
        <v>2</v>
      </c>
      <c r="AE16">
        <v>1</v>
      </c>
    </row>
    <row r="17" spans="1:37" x14ac:dyDescent="0.35">
      <c r="A17" t="s">
        <v>42</v>
      </c>
      <c r="B17" t="s">
        <v>43</v>
      </c>
      <c r="C17" t="s">
        <v>38</v>
      </c>
      <c r="D17" t="b">
        <v>0</v>
      </c>
      <c r="E17" s="1">
        <v>45991</v>
      </c>
      <c r="F17">
        <v>8</v>
      </c>
      <c r="G17" t="str">
        <f t="shared" si="0"/>
        <v>12:00 AM</v>
      </c>
      <c r="H17" t="s">
        <v>39</v>
      </c>
      <c r="I17">
        <v>24.6</v>
      </c>
      <c r="J17">
        <v>5</v>
      </c>
      <c r="K17">
        <v>5</v>
      </c>
      <c r="L17">
        <v>10</v>
      </c>
      <c r="M17">
        <v>3</v>
      </c>
      <c r="N17">
        <v>68.2</v>
      </c>
      <c r="O17">
        <v>528.9</v>
      </c>
      <c r="P17">
        <v>16.2</v>
      </c>
      <c r="Q17">
        <v>579.79999999999995</v>
      </c>
      <c r="R17">
        <v>12988</v>
      </c>
      <c r="S17">
        <v>21468</v>
      </c>
      <c r="T17">
        <v>11481</v>
      </c>
      <c r="U17">
        <v>31</v>
      </c>
      <c r="V17">
        <v>21</v>
      </c>
      <c r="W17">
        <v>0</v>
      </c>
      <c r="X17">
        <v>23</v>
      </c>
      <c r="Y17">
        <v>1</v>
      </c>
      <c r="Z17">
        <v>144</v>
      </c>
      <c r="AA17">
        <v>17</v>
      </c>
      <c r="AB17">
        <v>116</v>
      </c>
      <c r="AC17">
        <v>649</v>
      </c>
      <c r="AD17">
        <v>2</v>
      </c>
      <c r="AE17">
        <v>1</v>
      </c>
      <c r="AF17">
        <v>48</v>
      </c>
      <c r="AG17">
        <v>1.96</v>
      </c>
      <c r="AH17">
        <v>39</v>
      </c>
      <c r="AI17">
        <v>1.61</v>
      </c>
      <c r="AJ17" t="s">
        <v>40</v>
      </c>
      <c r="AK17" t="s">
        <v>44</v>
      </c>
    </row>
    <row r="18" spans="1:37" x14ac:dyDescent="0.35">
      <c r="A18" t="s">
        <v>50</v>
      </c>
      <c r="B18" t="s">
        <v>51</v>
      </c>
      <c r="C18" t="s">
        <v>38</v>
      </c>
      <c r="D18" t="b">
        <v>1</v>
      </c>
      <c r="E18" s="1">
        <v>45991</v>
      </c>
      <c r="F18">
        <v>7</v>
      </c>
      <c r="G18" t="str">
        <f t="shared" si="0"/>
        <v>11:00 PM</v>
      </c>
      <c r="H18" t="s">
        <v>39</v>
      </c>
      <c r="I18">
        <v>1.8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285.3</v>
      </c>
      <c r="R18">
        <v>0</v>
      </c>
      <c r="S18">
        <v>413</v>
      </c>
      <c r="T18">
        <v>148</v>
      </c>
      <c r="U18">
        <v>0</v>
      </c>
      <c r="V18">
        <v>0</v>
      </c>
      <c r="W18">
        <v>0</v>
      </c>
      <c r="X18">
        <v>0</v>
      </c>
      <c r="Y18">
        <v>0</v>
      </c>
      <c r="Z18">
        <v>4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52</v>
      </c>
      <c r="AK18" t="s">
        <v>44</v>
      </c>
    </row>
    <row r="19" spans="1:37" x14ac:dyDescent="0.35">
      <c r="A19" t="s">
        <v>53</v>
      </c>
      <c r="B19" t="s">
        <v>51</v>
      </c>
      <c r="C19" t="s">
        <v>38</v>
      </c>
      <c r="D19" t="b">
        <v>1</v>
      </c>
      <c r="E19" s="1">
        <v>45991</v>
      </c>
      <c r="F19">
        <v>7</v>
      </c>
      <c r="G19" t="str">
        <f t="shared" si="0"/>
        <v>11:00 PM</v>
      </c>
      <c r="H19" t="s">
        <v>39</v>
      </c>
      <c r="I19">
        <v>26.6</v>
      </c>
      <c r="J19">
        <v>0</v>
      </c>
      <c r="K19">
        <v>3</v>
      </c>
      <c r="L19">
        <v>6</v>
      </c>
      <c r="M19">
        <v>2</v>
      </c>
      <c r="N19">
        <v>28.6</v>
      </c>
      <c r="O19">
        <v>290.89999999999998</v>
      </c>
      <c r="P19">
        <v>9.8000000000000007</v>
      </c>
      <c r="Q19">
        <v>501.7</v>
      </c>
      <c r="R19">
        <v>7741</v>
      </c>
      <c r="S19">
        <v>24537</v>
      </c>
      <c r="T19">
        <v>23730</v>
      </c>
      <c r="U19">
        <v>9</v>
      </c>
      <c r="V19">
        <v>94</v>
      </c>
      <c r="W19">
        <v>14</v>
      </c>
      <c r="X19">
        <v>13</v>
      </c>
      <c r="Y19">
        <v>0</v>
      </c>
      <c r="Z19">
        <v>386</v>
      </c>
      <c r="AA19">
        <v>17</v>
      </c>
      <c r="AB19">
        <v>81</v>
      </c>
      <c r="AC19">
        <v>1120</v>
      </c>
      <c r="AD19">
        <v>0</v>
      </c>
      <c r="AE19">
        <v>0</v>
      </c>
      <c r="AF19">
        <v>17</v>
      </c>
      <c r="AG19">
        <v>0.64</v>
      </c>
      <c r="AH19">
        <v>19</v>
      </c>
      <c r="AI19">
        <v>0.74</v>
      </c>
      <c r="AJ19" t="s">
        <v>54</v>
      </c>
      <c r="AK19" t="s">
        <v>52</v>
      </c>
    </row>
    <row r="20" spans="1:37" x14ac:dyDescent="0.35">
      <c r="A20" t="s">
        <v>68</v>
      </c>
      <c r="B20" t="s">
        <v>69</v>
      </c>
      <c r="C20" t="s">
        <v>38</v>
      </c>
      <c r="D20" t="b">
        <v>0</v>
      </c>
      <c r="E20" s="1">
        <v>45991</v>
      </c>
      <c r="F20">
        <v>8</v>
      </c>
      <c r="G20" t="str">
        <f t="shared" si="0"/>
        <v>12:00 AM</v>
      </c>
      <c r="H20" t="s">
        <v>39</v>
      </c>
      <c r="I20">
        <v>19.7</v>
      </c>
      <c r="J20">
        <v>0</v>
      </c>
      <c r="K20">
        <v>3</v>
      </c>
      <c r="L20">
        <v>2</v>
      </c>
      <c r="M20">
        <v>0.66666666666666596</v>
      </c>
      <c r="N20">
        <v>15.4</v>
      </c>
      <c r="O20">
        <v>487.9</v>
      </c>
      <c r="P20">
        <v>17.5</v>
      </c>
      <c r="Q20">
        <v>464.2</v>
      </c>
      <c r="R20">
        <v>9628</v>
      </c>
      <c r="S20">
        <v>17399</v>
      </c>
      <c r="T20">
        <v>16849</v>
      </c>
      <c r="U20">
        <v>0</v>
      </c>
      <c r="V20">
        <v>9</v>
      </c>
      <c r="W20">
        <v>0</v>
      </c>
      <c r="X20">
        <v>11</v>
      </c>
      <c r="Y20">
        <v>0</v>
      </c>
      <c r="Z20">
        <v>146</v>
      </c>
      <c r="AA20">
        <v>13</v>
      </c>
      <c r="AB20">
        <v>100</v>
      </c>
      <c r="AC20">
        <v>483</v>
      </c>
      <c r="AD20">
        <v>0</v>
      </c>
      <c r="AE20">
        <v>0</v>
      </c>
      <c r="AF20">
        <v>107</v>
      </c>
      <c r="AG20">
        <v>5.42</v>
      </c>
      <c r="AH20">
        <v>8</v>
      </c>
      <c r="AI20">
        <v>0.42</v>
      </c>
      <c r="AJ20" t="s">
        <v>52</v>
      </c>
      <c r="AK20" t="s">
        <v>44</v>
      </c>
    </row>
    <row r="21" spans="1:37" x14ac:dyDescent="0.35">
      <c r="A21" t="s">
        <v>48</v>
      </c>
      <c r="B21" t="s">
        <v>37</v>
      </c>
      <c r="C21" t="s">
        <v>38</v>
      </c>
      <c r="D21" t="b">
        <v>0</v>
      </c>
      <c r="E21" s="1">
        <v>45994</v>
      </c>
      <c r="F21">
        <v>5</v>
      </c>
      <c r="G21" t="str">
        <f t="shared" si="0"/>
        <v>9:00 PM</v>
      </c>
      <c r="H21" t="s">
        <v>49</v>
      </c>
      <c r="I21">
        <v>24.4</v>
      </c>
      <c r="J21">
        <v>1</v>
      </c>
      <c r="K21">
        <v>8</v>
      </c>
      <c r="L21">
        <v>4</v>
      </c>
      <c r="M21">
        <v>0.625</v>
      </c>
      <c r="N21">
        <v>45.5</v>
      </c>
      <c r="O21">
        <v>655.5</v>
      </c>
      <c r="P21">
        <v>22.7</v>
      </c>
      <c r="Q21">
        <v>503.3</v>
      </c>
      <c r="R21">
        <v>15968</v>
      </c>
      <c r="S21">
        <v>27319</v>
      </c>
      <c r="T21">
        <v>13845</v>
      </c>
      <c r="U21">
        <v>34</v>
      </c>
      <c r="V21">
        <v>8</v>
      </c>
      <c r="W21">
        <v>0</v>
      </c>
      <c r="X21">
        <v>24</v>
      </c>
      <c r="Y21">
        <v>1</v>
      </c>
      <c r="Z21">
        <v>178</v>
      </c>
      <c r="AA21">
        <v>16</v>
      </c>
      <c r="AB21">
        <v>243</v>
      </c>
      <c r="AC21">
        <v>572</v>
      </c>
      <c r="AD21">
        <v>0</v>
      </c>
      <c r="AE21">
        <v>1</v>
      </c>
      <c r="AF21">
        <v>134</v>
      </c>
      <c r="AG21">
        <v>5.5</v>
      </c>
      <c r="AH21">
        <v>16</v>
      </c>
      <c r="AI21">
        <v>0.7</v>
      </c>
      <c r="AJ21" t="s">
        <v>40</v>
      </c>
      <c r="AK21" t="s">
        <v>41</v>
      </c>
    </row>
    <row r="22" spans="1:37" x14ac:dyDescent="0.35">
      <c r="A22" t="s">
        <v>86</v>
      </c>
      <c r="B22" t="s">
        <v>43</v>
      </c>
      <c r="C22" t="s">
        <v>38</v>
      </c>
      <c r="D22" t="b">
        <v>1</v>
      </c>
      <c r="E22" s="1">
        <v>45994</v>
      </c>
      <c r="F22">
        <v>5</v>
      </c>
      <c r="G22" t="str">
        <f t="shared" si="0"/>
        <v>9:00 PM</v>
      </c>
      <c r="H22" t="s">
        <v>49</v>
      </c>
      <c r="I22">
        <v>27.2</v>
      </c>
      <c r="J22">
        <v>2</v>
      </c>
      <c r="K22">
        <v>2</v>
      </c>
      <c r="L22">
        <v>11</v>
      </c>
      <c r="M22">
        <v>6.5</v>
      </c>
      <c r="N22">
        <v>40.6</v>
      </c>
      <c r="O22">
        <v>350.1</v>
      </c>
      <c r="P22">
        <v>9.6</v>
      </c>
      <c r="Q22">
        <v>547.9</v>
      </c>
      <c r="R22">
        <v>9522</v>
      </c>
      <c r="S22">
        <v>14561</v>
      </c>
      <c r="T22">
        <v>6081</v>
      </c>
      <c r="U22">
        <v>17</v>
      </c>
      <c r="V22">
        <v>76</v>
      </c>
      <c r="W22">
        <v>12</v>
      </c>
      <c r="X22">
        <v>15</v>
      </c>
      <c r="Y22">
        <v>0</v>
      </c>
      <c r="Z22">
        <v>135</v>
      </c>
      <c r="AA22">
        <v>18</v>
      </c>
      <c r="AB22">
        <v>44</v>
      </c>
      <c r="AC22">
        <v>494</v>
      </c>
      <c r="AD22">
        <v>0</v>
      </c>
      <c r="AE22">
        <v>1</v>
      </c>
      <c r="AF22">
        <v>63</v>
      </c>
      <c r="AG22">
        <v>2.3199999999999998</v>
      </c>
      <c r="AH22">
        <v>75</v>
      </c>
      <c r="AI22">
        <v>2.78</v>
      </c>
      <c r="AJ22" t="s">
        <v>40</v>
      </c>
      <c r="AK22" t="s">
        <v>44</v>
      </c>
    </row>
    <row r="23" spans="1:37" x14ac:dyDescent="0.35">
      <c r="A23" t="s">
        <v>88</v>
      </c>
      <c r="B23" t="s">
        <v>37</v>
      </c>
      <c r="C23" t="s">
        <v>38</v>
      </c>
      <c r="D23" t="b">
        <v>0</v>
      </c>
      <c r="E23" s="1">
        <v>45994</v>
      </c>
      <c r="F23">
        <v>4</v>
      </c>
      <c r="G23" t="str">
        <f t="shared" si="0"/>
        <v>8:00 PM</v>
      </c>
      <c r="H23" t="s">
        <v>49</v>
      </c>
      <c r="I23">
        <v>22.3</v>
      </c>
      <c r="J23">
        <v>5</v>
      </c>
      <c r="K23">
        <v>5</v>
      </c>
      <c r="L23">
        <v>8</v>
      </c>
      <c r="M23">
        <v>2.6</v>
      </c>
      <c r="N23">
        <v>48.1</v>
      </c>
      <c r="O23">
        <v>1370.7</v>
      </c>
      <c r="P23">
        <v>26.4</v>
      </c>
      <c r="Q23">
        <v>460.6</v>
      </c>
      <c r="R23">
        <v>30570</v>
      </c>
      <c r="S23">
        <v>25974</v>
      </c>
      <c r="T23">
        <v>12221</v>
      </c>
      <c r="U23">
        <v>63</v>
      </c>
      <c r="V23">
        <v>15</v>
      </c>
      <c r="W23">
        <v>0</v>
      </c>
      <c r="X23">
        <v>37</v>
      </c>
      <c r="Y23">
        <v>1</v>
      </c>
      <c r="Z23">
        <v>196</v>
      </c>
      <c r="AA23">
        <v>14</v>
      </c>
      <c r="AB23">
        <v>112</v>
      </c>
      <c r="AC23">
        <v>568</v>
      </c>
      <c r="AD23">
        <v>3</v>
      </c>
      <c r="AE23">
        <v>2</v>
      </c>
      <c r="AF23">
        <v>67</v>
      </c>
      <c r="AG23">
        <v>3</v>
      </c>
      <c r="AH23">
        <v>22</v>
      </c>
      <c r="AI23">
        <v>0.99</v>
      </c>
      <c r="AJ23" t="s">
        <v>40</v>
      </c>
      <c r="AK23" t="s">
        <v>41</v>
      </c>
    </row>
    <row r="24" spans="1:37" x14ac:dyDescent="0.35">
      <c r="A24" t="s">
        <v>61</v>
      </c>
      <c r="B24" t="s">
        <v>43</v>
      </c>
      <c r="C24" t="s">
        <v>38</v>
      </c>
      <c r="D24" t="b">
        <v>1</v>
      </c>
      <c r="E24" s="1">
        <v>45996</v>
      </c>
      <c r="F24">
        <v>5</v>
      </c>
      <c r="G24" t="str">
        <f t="shared" si="0"/>
        <v>9:00 PM</v>
      </c>
      <c r="H24" t="s">
        <v>60</v>
      </c>
      <c r="I24">
        <v>31.1</v>
      </c>
      <c r="J24">
        <v>3</v>
      </c>
      <c r="K24">
        <v>2</v>
      </c>
      <c r="L24">
        <v>9</v>
      </c>
      <c r="M24">
        <v>6</v>
      </c>
      <c r="N24">
        <v>36.4</v>
      </c>
      <c r="O24">
        <v>345.2</v>
      </c>
      <c r="P24">
        <v>8.9</v>
      </c>
      <c r="Q24">
        <v>649.79999999999995</v>
      </c>
      <c r="R24">
        <v>10746</v>
      </c>
      <c r="S24">
        <v>15918</v>
      </c>
      <c r="T24">
        <v>5177</v>
      </c>
      <c r="U24">
        <v>24</v>
      </c>
      <c r="V24">
        <v>25</v>
      </c>
      <c r="W24">
        <v>1</v>
      </c>
      <c r="X24">
        <v>17</v>
      </c>
      <c r="Y24">
        <v>0</v>
      </c>
      <c r="Z24">
        <v>148</v>
      </c>
      <c r="AA24">
        <v>18</v>
      </c>
      <c r="AB24">
        <v>88</v>
      </c>
      <c r="AC24">
        <v>1083</v>
      </c>
      <c r="AD24">
        <v>2</v>
      </c>
      <c r="AE24">
        <v>1</v>
      </c>
      <c r="AF24">
        <v>50</v>
      </c>
      <c r="AG24">
        <v>1.61</v>
      </c>
      <c r="AH24">
        <v>73</v>
      </c>
      <c r="AI24">
        <v>2.35</v>
      </c>
      <c r="AJ24" t="s">
        <v>40</v>
      </c>
      <c r="AK24" t="s">
        <v>44</v>
      </c>
    </row>
    <row r="25" spans="1:37" x14ac:dyDescent="0.35">
      <c r="A25" t="s">
        <v>73</v>
      </c>
      <c r="B25" t="s">
        <v>43</v>
      </c>
      <c r="C25" t="s">
        <v>38</v>
      </c>
      <c r="D25" t="b">
        <v>1</v>
      </c>
      <c r="E25" s="1">
        <v>45996</v>
      </c>
      <c r="F25">
        <v>5</v>
      </c>
      <c r="G25" t="str">
        <f t="shared" si="0"/>
        <v>9:00 PM</v>
      </c>
      <c r="H25" t="s">
        <v>60</v>
      </c>
      <c r="I25">
        <v>16.5</v>
      </c>
      <c r="J25">
        <v>0</v>
      </c>
      <c r="K25">
        <v>4</v>
      </c>
      <c r="L25">
        <v>8</v>
      </c>
      <c r="M25">
        <v>2</v>
      </c>
      <c r="N25">
        <v>28.6</v>
      </c>
      <c r="O25">
        <v>270.60000000000002</v>
      </c>
      <c r="P25">
        <v>7.9</v>
      </c>
      <c r="Q25">
        <v>478.1</v>
      </c>
      <c r="R25">
        <v>4474</v>
      </c>
      <c r="S25">
        <v>10623</v>
      </c>
      <c r="T25">
        <v>3800</v>
      </c>
      <c r="U25">
        <v>12</v>
      </c>
      <c r="V25">
        <v>22</v>
      </c>
      <c r="W25">
        <v>1</v>
      </c>
      <c r="X25">
        <v>7</v>
      </c>
      <c r="Y25">
        <v>0</v>
      </c>
      <c r="Z25">
        <v>77</v>
      </c>
      <c r="AA25">
        <v>11</v>
      </c>
      <c r="AB25">
        <v>51</v>
      </c>
      <c r="AC25">
        <v>286</v>
      </c>
      <c r="AD25">
        <v>0</v>
      </c>
      <c r="AE25">
        <v>0</v>
      </c>
      <c r="AF25">
        <v>20</v>
      </c>
      <c r="AG25">
        <v>1.21</v>
      </c>
      <c r="AH25">
        <v>37</v>
      </c>
      <c r="AI25">
        <v>2.2400000000000002</v>
      </c>
      <c r="AJ25" t="s">
        <v>52</v>
      </c>
      <c r="AK25" t="s">
        <v>44</v>
      </c>
    </row>
    <row r="26" spans="1:37" x14ac:dyDescent="0.35">
      <c r="A26" t="s">
        <v>78</v>
      </c>
      <c r="B26" t="s">
        <v>56</v>
      </c>
      <c r="C26" t="s">
        <v>38</v>
      </c>
      <c r="D26" t="b">
        <v>0</v>
      </c>
      <c r="E26" s="1">
        <v>46001</v>
      </c>
      <c r="F26">
        <v>3</v>
      </c>
      <c r="G26" t="str">
        <f t="shared" si="0"/>
        <v>7:00 PM</v>
      </c>
      <c r="H26" t="s">
        <v>49</v>
      </c>
      <c r="I26">
        <v>28.7</v>
      </c>
      <c r="J26">
        <v>6</v>
      </c>
      <c r="K26">
        <v>12</v>
      </c>
      <c r="L26">
        <v>3</v>
      </c>
      <c r="M26">
        <v>0.75</v>
      </c>
      <c r="N26">
        <v>50</v>
      </c>
      <c r="O26">
        <v>600.79999999999995</v>
      </c>
      <c r="P26">
        <v>20.100000000000001</v>
      </c>
      <c r="Q26">
        <v>519.20000000000005</v>
      </c>
      <c r="R26">
        <v>17272</v>
      </c>
      <c r="S26">
        <v>27756</v>
      </c>
      <c r="T26">
        <v>13314</v>
      </c>
      <c r="U26">
        <v>59</v>
      </c>
      <c r="V26">
        <v>116</v>
      </c>
      <c r="W26">
        <v>6</v>
      </c>
      <c r="X26">
        <v>0</v>
      </c>
      <c r="Y26">
        <v>0</v>
      </c>
      <c r="Z26">
        <v>139</v>
      </c>
      <c r="AA26">
        <v>16</v>
      </c>
      <c r="AB26">
        <v>384</v>
      </c>
      <c r="AC26">
        <v>431</v>
      </c>
      <c r="AD26">
        <v>2</v>
      </c>
      <c r="AE26">
        <v>2</v>
      </c>
      <c r="AF26">
        <v>100</v>
      </c>
      <c r="AG26">
        <v>3.48</v>
      </c>
      <c r="AH26">
        <v>23</v>
      </c>
      <c r="AI26">
        <v>0.81</v>
      </c>
      <c r="AJ26" t="s">
        <v>40</v>
      </c>
      <c r="AK26" t="s">
        <v>41</v>
      </c>
    </row>
    <row r="27" spans="1:37" x14ac:dyDescent="0.35">
      <c r="A27" t="s">
        <v>82</v>
      </c>
      <c r="B27" t="s">
        <v>43</v>
      </c>
      <c r="C27" t="s">
        <v>38</v>
      </c>
      <c r="D27" t="b">
        <v>0</v>
      </c>
      <c r="E27" s="1">
        <v>46001</v>
      </c>
      <c r="F27">
        <v>2</v>
      </c>
      <c r="G27" t="str">
        <f t="shared" si="0"/>
        <v>6:00 PM</v>
      </c>
      <c r="H27" t="s">
        <v>49</v>
      </c>
      <c r="I27">
        <v>31.7</v>
      </c>
      <c r="J27">
        <v>3</v>
      </c>
      <c r="K27">
        <v>6</v>
      </c>
      <c r="L27">
        <v>13</v>
      </c>
      <c r="M27">
        <v>2.6666666666666599</v>
      </c>
      <c r="N27">
        <v>43.2</v>
      </c>
      <c r="O27">
        <v>399.4</v>
      </c>
      <c r="P27">
        <v>8.5</v>
      </c>
      <c r="Q27">
        <v>594.4</v>
      </c>
      <c r="R27">
        <v>12670</v>
      </c>
      <c r="S27">
        <v>25831</v>
      </c>
      <c r="T27">
        <v>10418</v>
      </c>
      <c r="U27">
        <v>28</v>
      </c>
      <c r="V27">
        <v>12</v>
      </c>
      <c r="W27">
        <v>0</v>
      </c>
      <c r="X27">
        <v>21</v>
      </c>
      <c r="Y27">
        <v>0</v>
      </c>
      <c r="Z27">
        <v>144</v>
      </c>
      <c r="AA27">
        <v>18</v>
      </c>
      <c r="AB27">
        <v>205</v>
      </c>
      <c r="AC27">
        <v>877</v>
      </c>
      <c r="AD27">
        <v>0</v>
      </c>
      <c r="AE27">
        <v>1</v>
      </c>
      <c r="AF27">
        <v>42</v>
      </c>
      <c r="AG27">
        <v>1.32</v>
      </c>
      <c r="AH27">
        <v>68</v>
      </c>
      <c r="AI27">
        <v>2.17</v>
      </c>
      <c r="AJ27" t="s">
        <v>83</v>
      </c>
      <c r="AK27" t="s">
        <v>44</v>
      </c>
    </row>
    <row r="28" spans="1:37" x14ac:dyDescent="0.35">
      <c r="A28" t="s">
        <v>85</v>
      </c>
      <c r="B28" t="s">
        <v>43</v>
      </c>
      <c r="C28" t="s">
        <v>38</v>
      </c>
      <c r="D28" t="b">
        <v>1</v>
      </c>
      <c r="E28" s="1">
        <v>46017</v>
      </c>
      <c r="F28">
        <v>3</v>
      </c>
      <c r="G28" t="str">
        <f t="shared" si="0"/>
        <v>7:00 PM</v>
      </c>
      <c r="H28" t="s">
        <v>60</v>
      </c>
      <c r="I28">
        <v>37</v>
      </c>
      <c r="J28">
        <v>4</v>
      </c>
      <c r="K28">
        <v>5</v>
      </c>
      <c r="L28">
        <v>21</v>
      </c>
      <c r="M28">
        <v>5</v>
      </c>
      <c r="N28">
        <v>56.8</v>
      </c>
      <c r="O28">
        <v>805.7</v>
      </c>
      <c r="P28">
        <v>11.9</v>
      </c>
      <c r="Q28">
        <v>668.7</v>
      </c>
      <c r="R28">
        <v>29860</v>
      </c>
      <c r="S28">
        <v>33229</v>
      </c>
      <c r="T28">
        <v>30975</v>
      </c>
      <c r="U28">
        <v>41</v>
      </c>
      <c r="V28">
        <v>46</v>
      </c>
      <c r="W28">
        <v>1</v>
      </c>
      <c r="X28">
        <v>28</v>
      </c>
      <c r="Y28">
        <v>0</v>
      </c>
      <c r="Z28">
        <v>221</v>
      </c>
      <c r="AA28">
        <v>18</v>
      </c>
      <c r="AB28">
        <v>196</v>
      </c>
      <c r="AC28">
        <v>692</v>
      </c>
      <c r="AD28">
        <v>2</v>
      </c>
      <c r="AE28">
        <v>1</v>
      </c>
      <c r="AF28">
        <v>68</v>
      </c>
      <c r="AG28">
        <v>1.84</v>
      </c>
      <c r="AH28">
        <v>85</v>
      </c>
      <c r="AI28">
        <v>2.31</v>
      </c>
      <c r="AJ28" t="s">
        <v>83</v>
      </c>
      <c r="AK28" t="s">
        <v>44</v>
      </c>
    </row>
    <row r="29" spans="1:37" x14ac:dyDescent="0.35">
      <c r="A29" t="s">
        <v>95</v>
      </c>
      <c r="B29" t="s">
        <v>43</v>
      </c>
      <c r="C29" t="s">
        <v>38</v>
      </c>
      <c r="D29" t="b">
        <v>0</v>
      </c>
      <c r="E29" s="1">
        <v>46017</v>
      </c>
      <c r="F29">
        <v>4</v>
      </c>
      <c r="G29" t="str">
        <f t="shared" si="0"/>
        <v>8:00 PM</v>
      </c>
      <c r="H29" t="s">
        <v>60</v>
      </c>
      <c r="I29">
        <v>30.3</v>
      </c>
      <c r="J29">
        <v>7</v>
      </c>
      <c r="K29">
        <v>9</v>
      </c>
      <c r="L29">
        <v>10</v>
      </c>
      <c r="M29">
        <v>1.88888888888888</v>
      </c>
      <c r="N29">
        <v>48.6</v>
      </c>
      <c r="O29">
        <v>501.1</v>
      </c>
      <c r="P29">
        <v>11.5</v>
      </c>
      <c r="Q29">
        <v>607.9</v>
      </c>
      <c r="R29">
        <v>15199</v>
      </c>
      <c r="S29">
        <v>30749</v>
      </c>
      <c r="T29">
        <v>13514</v>
      </c>
      <c r="U29">
        <v>29</v>
      </c>
      <c r="V29">
        <v>5</v>
      </c>
      <c r="W29">
        <v>0</v>
      </c>
      <c r="X29">
        <v>22</v>
      </c>
      <c r="Y29">
        <v>0</v>
      </c>
      <c r="Z29">
        <v>162</v>
      </c>
      <c r="AA29">
        <v>18</v>
      </c>
      <c r="AB29">
        <v>306</v>
      </c>
      <c r="AC29">
        <v>479</v>
      </c>
      <c r="AD29">
        <v>5</v>
      </c>
      <c r="AE29">
        <v>2</v>
      </c>
      <c r="AF29">
        <v>34</v>
      </c>
      <c r="AG29">
        <v>1.1200000000000001</v>
      </c>
      <c r="AH29">
        <v>59</v>
      </c>
      <c r="AI29">
        <v>1.97</v>
      </c>
      <c r="AJ29" t="s">
        <v>40</v>
      </c>
      <c r="AK29" t="s">
        <v>44</v>
      </c>
    </row>
    <row r="30" spans="1:37" x14ac:dyDescent="0.35">
      <c r="A30" t="s">
        <v>57</v>
      </c>
      <c r="B30" t="s">
        <v>43</v>
      </c>
      <c r="C30" t="s">
        <v>38</v>
      </c>
      <c r="D30" t="b">
        <v>1</v>
      </c>
      <c r="E30" s="1">
        <v>46051</v>
      </c>
      <c r="F30">
        <v>5</v>
      </c>
      <c r="G30" t="str">
        <f t="shared" si="0"/>
        <v>9:00 PM</v>
      </c>
      <c r="H30" t="s">
        <v>46</v>
      </c>
      <c r="I30">
        <v>18.3</v>
      </c>
      <c r="J30">
        <v>5</v>
      </c>
      <c r="K30">
        <v>4</v>
      </c>
      <c r="L30">
        <v>10</v>
      </c>
      <c r="M30">
        <v>3.75</v>
      </c>
      <c r="N30">
        <v>48.4</v>
      </c>
      <c r="O30">
        <v>462.2</v>
      </c>
      <c r="P30">
        <v>10.9</v>
      </c>
      <c r="Q30">
        <v>808.7</v>
      </c>
      <c r="R30">
        <v>8470</v>
      </c>
      <c r="S30">
        <v>15108</v>
      </c>
      <c r="T30">
        <v>6673</v>
      </c>
      <c r="U30">
        <v>20</v>
      </c>
      <c r="V30">
        <v>19</v>
      </c>
      <c r="W30">
        <v>0</v>
      </c>
      <c r="X30">
        <v>11</v>
      </c>
      <c r="Y30">
        <v>0</v>
      </c>
      <c r="Z30">
        <v>99</v>
      </c>
      <c r="AA30">
        <v>16</v>
      </c>
      <c r="AB30">
        <v>100</v>
      </c>
      <c r="AC30">
        <v>292</v>
      </c>
      <c r="AD30">
        <v>2</v>
      </c>
      <c r="AE30">
        <v>2</v>
      </c>
      <c r="AF30">
        <v>45</v>
      </c>
      <c r="AG30">
        <v>2.46</v>
      </c>
      <c r="AH30">
        <v>32</v>
      </c>
      <c r="AI30">
        <v>1.79</v>
      </c>
      <c r="AJ30" t="s">
        <v>52</v>
      </c>
      <c r="AK30" t="s">
        <v>44</v>
      </c>
    </row>
    <row r="31" spans="1:37" x14ac:dyDescent="0.35">
      <c r="A31" t="s">
        <v>70</v>
      </c>
      <c r="B31" t="s">
        <v>37</v>
      </c>
      <c r="C31" t="s">
        <v>38</v>
      </c>
      <c r="D31" t="b">
        <v>1</v>
      </c>
      <c r="E31" s="1">
        <v>46051</v>
      </c>
      <c r="F31">
        <v>4</v>
      </c>
      <c r="G31" t="str">
        <f t="shared" si="0"/>
        <v>8:00 PM</v>
      </c>
      <c r="H31" t="s">
        <v>46</v>
      </c>
      <c r="I31">
        <v>12.4</v>
      </c>
      <c r="J31">
        <v>1</v>
      </c>
      <c r="K31">
        <v>1</v>
      </c>
      <c r="L31">
        <v>8</v>
      </c>
      <c r="M31">
        <v>9</v>
      </c>
      <c r="N31">
        <v>42.9</v>
      </c>
      <c r="O31">
        <v>642.79999999999995</v>
      </c>
      <c r="P31">
        <v>17.2</v>
      </c>
      <c r="Q31">
        <v>691.3</v>
      </c>
      <c r="R31">
        <v>7963</v>
      </c>
      <c r="S31">
        <v>8592</v>
      </c>
      <c r="T31">
        <v>3958</v>
      </c>
      <c r="U31">
        <v>27</v>
      </c>
      <c r="V31">
        <v>2</v>
      </c>
      <c r="W31">
        <v>0</v>
      </c>
      <c r="X31">
        <v>15</v>
      </c>
      <c r="Y31">
        <v>0</v>
      </c>
      <c r="Z31">
        <v>100</v>
      </c>
      <c r="AA31">
        <v>11</v>
      </c>
      <c r="AB31">
        <v>22</v>
      </c>
      <c r="AC31">
        <v>459</v>
      </c>
      <c r="AD31">
        <v>0</v>
      </c>
      <c r="AE31">
        <v>1</v>
      </c>
      <c r="AF31">
        <v>24</v>
      </c>
      <c r="AG31">
        <v>1.94</v>
      </c>
      <c r="AH31">
        <v>17</v>
      </c>
      <c r="AI31">
        <v>1.39</v>
      </c>
      <c r="AJ31" t="s">
        <v>52</v>
      </c>
      <c r="AK31" t="s">
        <v>44</v>
      </c>
    </row>
    <row r="32" spans="1:37" x14ac:dyDescent="0.35">
      <c r="A32" t="s">
        <v>80</v>
      </c>
      <c r="B32" t="s">
        <v>37</v>
      </c>
      <c r="C32" t="s">
        <v>38</v>
      </c>
      <c r="D32" t="b">
        <v>1</v>
      </c>
      <c r="E32" s="1">
        <v>46051</v>
      </c>
      <c r="F32">
        <v>4</v>
      </c>
      <c r="G32" t="str">
        <f t="shared" si="0"/>
        <v>8:00 PM</v>
      </c>
      <c r="H32" t="s">
        <v>46</v>
      </c>
      <c r="I32">
        <v>28.8</v>
      </c>
      <c r="J32">
        <v>3</v>
      </c>
      <c r="K32">
        <v>9</v>
      </c>
      <c r="L32">
        <v>13</v>
      </c>
      <c r="M32">
        <v>1.7777777777777699</v>
      </c>
      <c r="N32">
        <v>45.7</v>
      </c>
      <c r="O32">
        <v>612.4</v>
      </c>
      <c r="P32">
        <v>12.7</v>
      </c>
      <c r="Q32">
        <v>701.5</v>
      </c>
      <c r="R32">
        <v>17609</v>
      </c>
      <c r="S32">
        <v>58019</v>
      </c>
      <c r="T32">
        <v>33362</v>
      </c>
      <c r="U32">
        <v>37</v>
      </c>
      <c r="V32">
        <v>21</v>
      </c>
      <c r="W32">
        <v>0</v>
      </c>
      <c r="X32">
        <v>34</v>
      </c>
      <c r="Y32">
        <v>0</v>
      </c>
      <c r="Z32">
        <v>237</v>
      </c>
      <c r="AA32">
        <v>18</v>
      </c>
      <c r="AB32">
        <v>283</v>
      </c>
      <c r="AC32">
        <v>442</v>
      </c>
      <c r="AD32">
        <v>2</v>
      </c>
      <c r="AE32">
        <v>1</v>
      </c>
      <c r="AF32">
        <v>110</v>
      </c>
      <c r="AG32">
        <v>3.83</v>
      </c>
      <c r="AH32">
        <v>68</v>
      </c>
      <c r="AI32">
        <v>2.38</v>
      </c>
      <c r="AJ32" t="s">
        <v>40</v>
      </c>
      <c r="AK32" t="s">
        <v>44</v>
      </c>
    </row>
    <row r="33" spans="1:37" x14ac:dyDescent="0.35">
      <c r="A33" t="s">
        <v>87</v>
      </c>
      <c r="B33" t="s">
        <v>43</v>
      </c>
      <c r="C33" t="s">
        <v>38</v>
      </c>
      <c r="D33" t="b">
        <v>0</v>
      </c>
      <c r="E33" s="1">
        <v>46051</v>
      </c>
      <c r="F33">
        <v>4</v>
      </c>
      <c r="G33" t="str">
        <f t="shared" si="0"/>
        <v>8:00 PM</v>
      </c>
      <c r="H33" t="s">
        <v>46</v>
      </c>
      <c r="I33">
        <v>20.100000000000001</v>
      </c>
      <c r="J33">
        <v>0</v>
      </c>
      <c r="K33">
        <v>5</v>
      </c>
      <c r="L33">
        <v>0</v>
      </c>
      <c r="M33">
        <v>0</v>
      </c>
      <c r="N33">
        <v>0</v>
      </c>
      <c r="O33">
        <v>301.60000000000002</v>
      </c>
      <c r="P33">
        <v>10.6</v>
      </c>
      <c r="Q33">
        <v>571.6</v>
      </c>
      <c r="R33">
        <v>6060</v>
      </c>
      <c r="S33">
        <v>19581</v>
      </c>
      <c r="T33">
        <v>8093</v>
      </c>
      <c r="U33">
        <v>19</v>
      </c>
      <c r="V33">
        <v>16</v>
      </c>
      <c r="W33">
        <v>0</v>
      </c>
      <c r="X33">
        <v>14</v>
      </c>
      <c r="Y33">
        <v>0</v>
      </c>
      <c r="Z33">
        <v>107</v>
      </c>
      <c r="AA33">
        <v>14</v>
      </c>
      <c r="AB33">
        <v>146</v>
      </c>
      <c r="AC33">
        <v>854</v>
      </c>
      <c r="AD33">
        <v>0</v>
      </c>
      <c r="AE33">
        <v>0</v>
      </c>
      <c r="AF33">
        <v>42</v>
      </c>
      <c r="AG33">
        <v>2.09</v>
      </c>
      <c r="AH33">
        <v>30</v>
      </c>
      <c r="AI33">
        <v>1.51</v>
      </c>
      <c r="AJ33" t="s">
        <v>40</v>
      </c>
      <c r="AK33" t="s">
        <v>44</v>
      </c>
    </row>
    <row r="34" spans="1:37" x14ac:dyDescent="0.35">
      <c r="A34" t="s">
        <v>36</v>
      </c>
      <c r="B34" t="s">
        <v>37</v>
      </c>
      <c r="C34" t="s">
        <v>38</v>
      </c>
      <c r="D34" t="b">
        <v>0</v>
      </c>
      <c r="E34" s="1">
        <v>46054</v>
      </c>
      <c r="F34">
        <v>4</v>
      </c>
      <c r="G34" t="str">
        <f t="shared" si="0"/>
        <v>8:00 PM</v>
      </c>
      <c r="H34" t="s">
        <v>39</v>
      </c>
      <c r="I34">
        <v>23.6</v>
      </c>
      <c r="J34">
        <v>3</v>
      </c>
      <c r="K34">
        <v>8</v>
      </c>
      <c r="L34">
        <v>6</v>
      </c>
      <c r="M34">
        <v>1.125</v>
      </c>
      <c r="N34">
        <v>32.1</v>
      </c>
      <c r="O34">
        <v>794.2</v>
      </c>
      <c r="P34">
        <v>17.5</v>
      </c>
      <c r="Q34">
        <v>699.1</v>
      </c>
      <c r="R34">
        <v>18723</v>
      </c>
      <c r="S34">
        <v>39423</v>
      </c>
      <c r="T34">
        <v>24685</v>
      </c>
      <c r="U34">
        <v>62</v>
      </c>
      <c r="V34">
        <v>79</v>
      </c>
      <c r="W34">
        <v>13</v>
      </c>
      <c r="X34">
        <v>31</v>
      </c>
      <c r="Y34">
        <v>1</v>
      </c>
      <c r="Z34">
        <v>226</v>
      </c>
      <c r="AA34">
        <v>18</v>
      </c>
      <c r="AB34">
        <v>210</v>
      </c>
      <c r="AC34">
        <v>403</v>
      </c>
      <c r="AD34">
        <v>2</v>
      </c>
      <c r="AE34">
        <v>1</v>
      </c>
      <c r="AF34">
        <v>91</v>
      </c>
      <c r="AG34">
        <v>3.86</v>
      </c>
      <c r="AH34">
        <v>21</v>
      </c>
      <c r="AI34">
        <v>0.91</v>
      </c>
      <c r="AJ34" t="s">
        <v>40</v>
      </c>
      <c r="AK34" t="s">
        <v>41</v>
      </c>
    </row>
    <row r="35" spans="1:37" x14ac:dyDescent="0.35">
      <c r="A35" t="s">
        <v>55</v>
      </c>
      <c r="B35" t="s">
        <v>56</v>
      </c>
      <c r="C35" t="s">
        <v>38</v>
      </c>
      <c r="D35" t="b">
        <v>0</v>
      </c>
      <c r="E35" s="1">
        <v>46054</v>
      </c>
      <c r="F35">
        <v>5</v>
      </c>
      <c r="G35" t="str">
        <f t="shared" si="0"/>
        <v>9:00 PM</v>
      </c>
      <c r="H35" t="s">
        <v>39</v>
      </c>
      <c r="I35">
        <v>17.399999999999999</v>
      </c>
      <c r="J35">
        <v>4</v>
      </c>
      <c r="K35">
        <v>6</v>
      </c>
      <c r="L35">
        <v>3</v>
      </c>
      <c r="M35">
        <v>1.1666666666666601</v>
      </c>
      <c r="N35">
        <v>46.7</v>
      </c>
      <c r="O35">
        <v>687.9</v>
      </c>
      <c r="P35">
        <v>17.100000000000001</v>
      </c>
      <c r="Q35">
        <v>687.6</v>
      </c>
      <c r="R35">
        <v>11967</v>
      </c>
      <c r="S35">
        <v>15439</v>
      </c>
      <c r="T35">
        <v>7484</v>
      </c>
      <c r="U35">
        <v>52</v>
      </c>
      <c r="V35">
        <v>12</v>
      </c>
      <c r="W35">
        <v>0</v>
      </c>
      <c r="X35">
        <v>0</v>
      </c>
      <c r="Y35">
        <v>0</v>
      </c>
      <c r="Z35">
        <v>105</v>
      </c>
      <c r="AA35">
        <v>14</v>
      </c>
      <c r="AB35">
        <v>162</v>
      </c>
      <c r="AC35">
        <v>445</v>
      </c>
      <c r="AD35">
        <v>3</v>
      </c>
      <c r="AE35">
        <v>2</v>
      </c>
      <c r="AF35">
        <v>89</v>
      </c>
      <c r="AG35">
        <v>5.12</v>
      </c>
      <c r="AH35">
        <v>12</v>
      </c>
      <c r="AI35">
        <v>0.74</v>
      </c>
      <c r="AJ35" t="s">
        <v>52</v>
      </c>
      <c r="AK35" t="s">
        <v>44</v>
      </c>
    </row>
    <row r="36" spans="1:37" x14ac:dyDescent="0.35">
      <c r="A36" t="s">
        <v>58</v>
      </c>
      <c r="B36" t="s">
        <v>37</v>
      </c>
      <c r="C36" t="s">
        <v>38</v>
      </c>
      <c r="D36" t="b">
        <v>1</v>
      </c>
      <c r="E36" s="1">
        <v>46054</v>
      </c>
      <c r="F36">
        <v>5</v>
      </c>
      <c r="G36" t="str">
        <f t="shared" si="0"/>
        <v>9:00 PM</v>
      </c>
      <c r="H36" t="s">
        <v>39</v>
      </c>
      <c r="I36">
        <v>16.100000000000001</v>
      </c>
      <c r="J36">
        <v>3</v>
      </c>
      <c r="K36">
        <v>1</v>
      </c>
      <c r="L36">
        <v>6</v>
      </c>
      <c r="M36">
        <v>9</v>
      </c>
      <c r="N36">
        <v>28.1</v>
      </c>
      <c r="O36">
        <v>602.29999999999995</v>
      </c>
      <c r="P36">
        <v>12.3</v>
      </c>
      <c r="Q36">
        <v>718.2</v>
      </c>
      <c r="R36">
        <v>9704</v>
      </c>
      <c r="S36">
        <v>18029</v>
      </c>
      <c r="T36">
        <v>20045</v>
      </c>
      <c r="U36">
        <v>31</v>
      </c>
      <c r="V36">
        <v>54</v>
      </c>
      <c r="W36">
        <v>1</v>
      </c>
      <c r="X36">
        <v>29</v>
      </c>
      <c r="Y36">
        <v>0</v>
      </c>
      <c r="Z36">
        <v>165</v>
      </c>
      <c r="AA36">
        <v>15</v>
      </c>
      <c r="AB36">
        <v>34</v>
      </c>
      <c r="AC36">
        <v>897</v>
      </c>
      <c r="AD36">
        <v>3</v>
      </c>
      <c r="AE36">
        <v>1</v>
      </c>
      <c r="AF36">
        <v>58</v>
      </c>
      <c r="AG36">
        <v>3.6</v>
      </c>
      <c r="AH36">
        <v>23</v>
      </c>
      <c r="AI36">
        <v>1.48</v>
      </c>
      <c r="AJ36" t="s">
        <v>52</v>
      </c>
      <c r="AK36" t="s">
        <v>44</v>
      </c>
    </row>
    <row r="37" spans="1:37" x14ac:dyDescent="0.35">
      <c r="A37" t="s">
        <v>65</v>
      </c>
      <c r="B37" t="s">
        <v>66</v>
      </c>
      <c r="C37" t="s">
        <v>64</v>
      </c>
      <c r="D37" t="b">
        <v>0</v>
      </c>
      <c r="E37" s="1">
        <v>46066</v>
      </c>
      <c r="F37">
        <v>7</v>
      </c>
      <c r="G37" t="str">
        <f t="shared" si="0"/>
        <v>11:00 PM</v>
      </c>
      <c r="H37" t="s">
        <v>60</v>
      </c>
      <c r="I37">
        <v>19.899999999999999</v>
      </c>
      <c r="J37">
        <v>4</v>
      </c>
      <c r="K37">
        <v>11</v>
      </c>
      <c r="L37">
        <v>35</v>
      </c>
      <c r="M37">
        <v>3.5454545454545401</v>
      </c>
      <c r="N37">
        <v>75</v>
      </c>
      <c r="O37">
        <v>556.70000000000005</v>
      </c>
      <c r="P37">
        <v>9.6999999999999993</v>
      </c>
      <c r="Q37">
        <v>614.79999999999995</v>
      </c>
      <c r="R37">
        <v>11076</v>
      </c>
      <c r="S37">
        <v>52199</v>
      </c>
      <c r="T37">
        <v>39883</v>
      </c>
      <c r="U37">
        <v>19</v>
      </c>
      <c r="V37">
        <v>112</v>
      </c>
      <c r="W37">
        <v>11</v>
      </c>
      <c r="X37">
        <v>55</v>
      </c>
      <c r="Y37">
        <v>0</v>
      </c>
      <c r="Z37">
        <v>99</v>
      </c>
      <c r="AA37">
        <v>18</v>
      </c>
      <c r="AB37">
        <v>288</v>
      </c>
      <c r="AC37">
        <v>189</v>
      </c>
      <c r="AD37">
        <v>3</v>
      </c>
      <c r="AE37">
        <v>1</v>
      </c>
    </row>
    <row r="38" spans="1:37" x14ac:dyDescent="0.35">
      <c r="A38" t="s">
        <v>67</v>
      </c>
      <c r="B38" t="s">
        <v>43</v>
      </c>
      <c r="C38" t="s">
        <v>64</v>
      </c>
      <c r="D38" t="b">
        <v>0</v>
      </c>
      <c r="E38" s="1">
        <v>46066</v>
      </c>
      <c r="F38">
        <v>7</v>
      </c>
      <c r="G38" t="str">
        <f t="shared" si="0"/>
        <v>11:00 PM</v>
      </c>
      <c r="H38" t="s">
        <v>60</v>
      </c>
      <c r="I38">
        <v>2.1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850.5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</row>
    <row r="39" spans="1:37" x14ac:dyDescent="0.35">
      <c r="A39" t="s">
        <v>89</v>
      </c>
      <c r="B39" t="s">
        <v>43</v>
      </c>
      <c r="C39" t="s">
        <v>38</v>
      </c>
      <c r="D39" t="b">
        <v>1</v>
      </c>
      <c r="E39" s="1">
        <v>46119</v>
      </c>
      <c r="F39">
        <v>5</v>
      </c>
      <c r="G39" t="str">
        <f t="shared" si="0"/>
        <v>9:00 PM</v>
      </c>
      <c r="H39" t="s">
        <v>90</v>
      </c>
      <c r="I39">
        <v>27</v>
      </c>
      <c r="J39">
        <v>0</v>
      </c>
      <c r="K39">
        <v>8</v>
      </c>
      <c r="L39">
        <v>11</v>
      </c>
      <c r="M39">
        <v>1.375</v>
      </c>
      <c r="N39">
        <v>30.6</v>
      </c>
      <c r="O39">
        <v>359.7</v>
      </c>
      <c r="P39">
        <v>6.5</v>
      </c>
      <c r="Q39">
        <v>733.5</v>
      </c>
      <c r="R39">
        <v>9703</v>
      </c>
      <c r="S39">
        <v>18712</v>
      </c>
      <c r="T39">
        <v>8436</v>
      </c>
      <c r="U39">
        <v>27</v>
      </c>
      <c r="V39">
        <v>5</v>
      </c>
      <c r="W39">
        <v>0</v>
      </c>
      <c r="X39">
        <v>19</v>
      </c>
      <c r="Y39">
        <v>0</v>
      </c>
      <c r="Z39">
        <v>140</v>
      </c>
      <c r="AA39">
        <v>18</v>
      </c>
      <c r="AB39">
        <v>192</v>
      </c>
      <c r="AC39">
        <v>489</v>
      </c>
      <c r="AD39">
        <v>0</v>
      </c>
      <c r="AE39">
        <v>0</v>
      </c>
      <c r="AF39">
        <v>24</v>
      </c>
      <c r="AG39">
        <v>0.89</v>
      </c>
      <c r="AH39">
        <v>69</v>
      </c>
      <c r="AI39">
        <v>2.58</v>
      </c>
      <c r="AJ39" t="s">
        <v>40</v>
      </c>
      <c r="AK39" t="s">
        <v>44</v>
      </c>
    </row>
  </sheetData>
  <sortState xmlns:xlrd2="http://schemas.microsoft.com/office/spreadsheetml/2017/richdata2" ref="A2:AK39">
    <sortCondition ref="E1:E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Summary</vt:lpstr>
      <vt:lpstr>jackdzn_match_history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 Rowe</cp:lastModifiedBy>
  <dcterms:created xsi:type="dcterms:W3CDTF">2026-06-25T15:05:08Z</dcterms:created>
  <dcterms:modified xsi:type="dcterms:W3CDTF">2026-07-03T16:31:39Z</dcterms:modified>
</cp:coreProperties>
</file>